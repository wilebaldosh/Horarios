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09" codeName="{326BA218-B054-8778-C3B9-1B04C7A2A785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/Users/willsh/Documents/est24/Subdirección/Horarios/"/>
    </mc:Choice>
  </mc:AlternateContent>
  <xr:revisionPtr revIDLastSave="0" documentId="13_ncr:1_{747A951A-3AAF-5B4A-AD6A-546C32FC1BB8}" xr6:coauthVersionLast="45" xr6:coauthVersionMax="45" xr10:uidLastSave="{00000000-0000-0000-0000-000000000000}"/>
  <bookViews>
    <workbookView xWindow="0" yWindow="460" windowWidth="25600" windowHeight="14260" tabRatio="681" xr2:uid="{00000000-000D-0000-FFFF-FFFF00000000}"/>
  </bookViews>
  <sheets>
    <sheet name="HorarioGeneral" sheetId="36" r:id="rId1"/>
    <sheet name="Vespertino" sheetId="39" state="hidden" r:id="rId2"/>
    <sheet name="EST24" sheetId="52" r:id="rId3"/>
    <sheet name="Carga horaria" sheetId="6" r:id="rId4"/>
    <sheet name="Maestros" sheetId="2" r:id="rId5"/>
    <sheet name="Disponibilidad" sheetId="46" r:id="rId6"/>
    <sheet name="Periodos lectivos" sheetId="48" r:id="rId7"/>
    <sheet name="Horas vs Asignaturas" sheetId="47" r:id="rId8"/>
    <sheet name="Distribución anual" sheetId="49" r:id="rId9"/>
    <sheet name="Horarios 1ª" sheetId="42" r:id="rId10"/>
    <sheet name="Horarios 2ª" sheetId="44" r:id="rId11"/>
    <sheet name="Horarios 3ª" sheetId="43" r:id="rId12"/>
    <sheet name="Carga horaria (2)" sheetId="45" r:id="rId13"/>
    <sheet name="Tutores" sheetId="54" r:id="rId14"/>
  </sheets>
  <functionGroups builtInGroupCount="19"/>
  <externalReferences>
    <externalReference r:id="rId15"/>
    <externalReference r:id="rId16"/>
  </externalReferences>
  <definedNames>
    <definedName name="_xlnm.Print_Area" localSheetId="5">Disponibilidad!$B$1:$DC$28</definedName>
    <definedName name="_xlnm.Print_Area" localSheetId="10">'Horarios 2ª'!$A$1:$F$33</definedName>
    <definedName name="_xlnm.Print_Area" localSheetId="11">'Horarios 3ª'!$A$1:$F$32</definedName>
    <definedName name="Asignaturas" localSheetId="12">'Carga horaria (2)'!$D$37:$D$48</definedName>
    <definedName name="Asignaturas" localSheetId="7">#REF!</definedName>
    <definedName name="Asignaturas">'Carga horaria'!$D$40:$D$51</definedName>
    <definedName name="CargaHoraria" localSheetId="12">'Carga horaria (2)'!$E$37:$E$48</definedName>
    <definedName name="CargaHoraria" localSheetId="7">#REF!</definedName>
    <definedName name="CargaHoraria">'Carga horaria'!$E$40:$E$51</definedName>
    <definedName name="Docentes">[1]Docentes!$B$3:$B$25</definedName>
    <definedName name="Grados" localSheetId="12">'Carga horaria (2)'!$B$37:$B$39</definedName>
    <definedName name="Grados" localSheetId="7">#REF!</definedName>
    <definedName name="Grados">'Carga horaria'!$B$40:$B$42</definedName>
    <definedName name="Grupos" localSheetId="12">'Carga horaria (2)'!$C$37:$C$40</definedName>
    <definedName name="Grupos" localSheetId="7">#REF!</definedName>
    <definedName name="Grupos">'Carga horaria'!$C$40:$C$43</definedName>
    <definedName name="hpA" localSheetId="7">[2]HorarioGeneral!$D$4:$D$43</definedName>
    <definedName name="hpA">HorarioGeneral!$D$4:$D$43</definedName>
    <definedName name="hpB" localSheetId="7">[2]HorarioGeneral!$E$4:$E$43</definedName>
    <definedName name="hpB">HorarioGeneral!$E$4:$E$43</definedName>
    <definedName name="hpC" localSheetId="7">[2]HorarioGeneral!$F$4:$F$43</definedName>
    <definedName name="hpC">HorarioGeneral!$F$4:$F$43</definedName>
    <definedName name="hpD" localSheetId="7">[2]HorarioGeneral!$G$4:$G$43</definedName>
    <definedName name="hpD">HorarioGeneral!$G$4:$G$43</definedName>
    <definedName name="hpE" localSheetId="7">[2]HorarioGeneral!$H$4:$H$43</definedName>
    <definedName name="hpE">HorarioGeneral!$H$4:$H$43</definedName>
    <definedName name="hpF" localSheetId="7">[2]HorarioGeneral!$I$4:$I$43</definedName>
    <definedName name="hpF">HorarioGeneral!$I$4:$I$43</definedName>
    <definedName name="hsA" localSheetId="7">[2]HorarioGeneral!$J$4:$J$43</definedName>
    <definedName name="hsA">HorarioGeneral!$J$4:$J$43</definedName>
    <definedName name="hsB" localSheetId="7">[2]HorarioGeneral!$K$4:$K$43</definedName>
    <definedName name="hsB">HorarioGeneral!$K$4:$K$43</definedName>
    <definedName name="hsC" localSheetId="7">[2]HorarioGeneral!$L$4:$L$43</definedName>
    <definedName name="hsC">HorarioGeneral!$L$4:$L$43</definedName>
    <definedName name="hsD">HorarioGeneral!$M$4:$M$43</definedName>
    <definedName name="hsE" localSheetId="7">[2]HorarioGeneral!$N$4:$N$43</definedName>
    <definedName name="hsE">HorarioGeneral!$N$4:$N$43</definedName>
    <definedName name="hsF" localSheetId="7">[2]HorarioGeneral!$O$4:$O$43</definedName>
    <definedName name="hsF">HorarioGeneral!$O$4:$O$43</definedName>
    <definedName name="htA" localSheetId="7">[2]HorarioGeneral!$P$4:$P$43</definedName>
    <definedName name="htA">HorarioGeneral!$P$4:$P$43</definedName>
    <definedName name="htB" localSheetId="7">[2]HorarioGeneral!$Q$4:$Q$43</definedName>
    <definedName name="htB">HorarioGeneral!$Q$4:$Q$43</definedName>
    <definedName name="htC" localSheetId="7">[2]HorarioGeneral!$R$4:$R$43</definedName>
    <definedName name="htC">HorarioGeneral!$R$4:$R$43</definedName>
    <definedName name="htD">HorarioGeneral!$S$4:$S$43</definedName>
    <definedName name="htE" localSheetId="7">[2]HorarioGeneral!$T$4:$T$43</definedName>
    <definedName name="htE">HorarioGeneral!$T$4:$T$43</definedName>
    <definedName name="htF" localSheetId="7">[2]HorarioGeneral!$U$4:$U$43</definedName>
    <definedName name="htF">HorarioGeneral!$U$4:$U$43</definedName>
    <definedName name="ListaMaestros" localSheetId="7">[2]Maestros!$D$2:$D$25</definedName>
    <definedName name="ListaMaestros">Maestros!$D$2:$D$13</definedName>
    <definedName name="Primero">'Horas vs Asignaturas'!$V$4</definedName>
    <definedName name="PrimeroA" localSheetId="7">[2]HorarioGeneral!$Z$3:$Z$12</definedName>
    <definedName name="PrimeroA">HorarioGeneral!$Z$4:$Z$15</definedName>
    <definedName name="PrimeroB" localSheetId="7">[2]HorarioGeneral!$AF$3:$AF$12</definedName>
    <definedName name="PrimeroB">HorarioGeneral!$AF$4:$AF$15</definedName>
    <definedName name="PrimeroC" localSheetId="7">[2]HorarioGeneral!$AL$3:$AL$12</definedName>
    <definedName name="PrimeroC">HorarioGeneral!$AL$4:$AL$15</definedName>
    <definedName name="PrimeroD" localSheetId="7">[2]HorarioGeneral!$AR$3:$AR$12</definedName>
    <definedName name="PrimeroD">HorarioGeneral!$AR$3:$AR$13</definedName>
    <definedName name="PrimeroE" localSheetId="7">[2]HorarioGeneral!$AX$3:$AX$12</definedName>
    <definedName name="PrimeroE">HorarioGeneral!$AX$3:$AX$13</definedName>
    <definedName name="PrimeroF" localSheetId="7">[2]HorarioGeneral!$BD$3:$BD$12</definedName>
    <definedName name="PrimeroF">HorarioGeneral!$BD$3:$BD$13</definedName>
    <definedName name="Segundo">'Horas vs Asignaturas'!$AC$4</definedName>
    <definedName name="SegundoA" localSheetId="7">[2]HorarioGeneral!$Z$15:$Z$24</definedName>
    <definedName name="SegundoA">HorarioGeneral!$Z$19:$Z$29</definedName>
    <definedName name="SegundoB" localSheetId="7">[2]HorarioGeneral!$AF$15:$AF$24</definedName>
    <definedName name="SegundoB">HorarioGeneral!$AF$19:$AF$29</definedName>
    <definedName name="SegundoC" localSheetId="7">[2]HorarioGeneral!$AL$15:$AL$24</definedName>
    <definedName name="SegundoC">HorarioGeneral!$AL$16:$AL$25</definedName>
    <definedName name="SegundoD" localSheetId="7">[2]HorarioGeneral!$AR$15:$AR$24</definedName>
    <definedName name="SegundoD">HorarioGeneral!$AR$16:$AR$25</definedName>
    <definedName name="SegundoE" localSheetId="7">[2]HorarioGeneral!$AX$15:$AX$24</definedName>
    <definedName name="SegundoE">HorarioGeneral!$AX$16:$AX$25</definedName>
    <definedName name="SegundoF" localSheetId="7">[2]HorarioGeneral!$BD$15:$BD$24</definedName>
    <definedName name="SegundoF">HorarioGeneral!$BD$16:$BD$25</definedName>
    <definedName name="Tecnologias">'Horas vs Asignaturas'!$J$4</definedName>
    <definedName name="Tecnologías">'Horas vs Asignaturas'!$J$4</definedName>
    <definedName name="Tercero">'Horas vs Asignaturas'!$AJ$4</definedName>
    <definedName name="TerceroA" localSheetId="7">[2]HorarioGeneral!$Z$27:$Z$36</definedName>
    <definedName name="TerceroA">HorarioGeneral!$Z$33:$Z$43</definedName>
    <definedName name="TerceroB" localSheetId="7">[2]HorarioGeneral!$AF$27:$AF$36</definedName>
    <definedName name="TerceroB">HorarioGeneral!$AF$33:$AF$42</definedName>
    <definedName name="TerceroC" localSheetId="7">[2]HorarioGeneral!$AL$27:$AL$36</definedName>
    <definedName name="TerceroC">HorarioGeneral!$AL$28:$AL$37</definedName>
    <definedName name="TerceroD" localSheetId="7">[2]HorarioGeneral!$AR$27:$AR$36</definedName>
    <definedName name="TerceroD">HorarioGeneral!$AR$28:$AR$37</definedName>
    <definedName name="TerceroE" localSheetId="7">[2]HorarioGeneral!$AX$27:$AX$36</definedName>
    <definedName name="TerceroE">HorarioGeneral!$AX$28:$AX$37</definedName>
    <definedName name="TerceroF" localSheetId="7">[2]HorarioGeneral!$BD$27:$BD$36</definedName>
    <definedName name="TerceroF">HorarioGeneral!$BD$28:$BD$37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7" i="52" l="1"/>
  <c r="C36" i="52"/>
  <c r="C35" i="52"/>
  <c r="C26" i="52"/>
  <c r="C25" i="52"/>
  <c r="C14" i="52"/>
  <c r="V14" i="36"/>
  <c r="V4" i="36"/>
  <c r="V43" i="36"/>
  <c r="V39" i="36"/>
  <c r="V35" i="36"/>
  <c r="V31" i="36"/>
  <c r="V27" i="36"/>
  <c r="V23" i="36"/>
  <c r="V19" i="36"/>
  <c r="V15" i="36"/>
  <c r="V32" i="36"/>
  <c r="V20" i="36"/>
  <c r="V42" i="36"/>
  <c r="V38" i="36"/>
  <c r="V34" i="36"/>
  <c r="V30" i="36"/>
  <c r="V26" i="36"/>
  <c r="V22" i="36"/>
  <c r="V18" i="36"/>
  <c r="V36" i="36"/>
  <c r="V28" i="36"/>
  <c r="V16" i="36"/>
  <c r="V41" i="36"/>
  <c r="V37" i="36"/>
  <c r="V33" i="36"/>
  <c r="V29" i="36"/>
  <c r="V25" i="36"/>
  <c r="V21" i="36"/>
  <c r="V17" i="36"/>
  <c r="V40" i="36"/>
  <c r="V24" i="36"/>
  <c r="V13" i="36"/>
  <c r="V9" i="36"/>
  <c r="V5" i="36"/>
  <c r="V8" i="36"/>
  <c r="V11" i="36"/>
  <c r="V7" i="36"/>
  <c r="V10" i="36"/>
  <c r="V6" i="36"/>
  <c r="V12" i="36"/>
  <c r="P1" i="36" l="1"/>
  <c r="AE43" i="36"/>
  <c r="AE42" i="36"/>
  <c r="AE41" i="36"/>
  <c r="AE40" i="36"/>
  <c r="AE39" i="36"/>
  <c r="AE38" i="36"/>
  <c r="AE37" i="36"/>
  <c r="AE36" i="36"/>
  <c r="AE35" i="36"/>
  <c r="AE34" i="36"/>
  <c r="AE33" i="36"/>
  <c r="AE15" i="36"/>
  <c r="AE14" i="36"/>
  <c r="AE13" i="36"/>
  <c r="AE12" i="36"/>
  <c r="AE11" i="36"/>
  <c r="AE10" i="36"/>
  <c r="AE9" i="36"/>
  <c r="AE8" i="36"/>
  <c r="AE7" i="36"/>
  <c r="AE6" i="36"/>
  <c r="AE5" i="36"/>
  <c r="AE4" i="36"/>
  <c r="Y43" i="36"/>
  <c r="Y42" i="36"/>
  <c r="Y41" i="36"/>
  <c r="AE29" i="36"/>
  <c r="AE28" i="36"/>
  <c r="Y29" i="36"/>
  <c r="Y28" i="36"/>
  <c r="AD43" i="36"/>
  <c r="AC43" i="36"/>
  <c r="X43" i="36"/>
  <c r="W43" i="36"/>
  <c r="Z43" i="36" s="1"/>
  <c r="AD15" i="36"/>
  <c r="AD14" i="36"/>
  <c r="X15" i="36"/>
  <c r="X14" i="36"/>
  <c r="AD29" i="36"/>
  <c r="AC29" i="36"/>
  <c r="X29" i="36"/>
  <c r="W29" i="36"/>
  <c r="AC15" i="36"/>
  <c r="AC14" i="36"/>
  <c r="AF15" i="36"/>
  <c r="Z15" i="36"/>
  <c r="Y15" i="36"/>
  <c r="W15" i="36"/>
  <c r="W14" i="36"/>
  <c r="Y4" i="36"/>
  <c r="Y14" i="36"/>
  <c r="Y5" i="36"/>
  <c r="D37" i="52"/>
  <c r="D36" i="52"/>
  <c r="D35" i="52"/>
  <c r="D26" i="52"/>
  <c r="D25" i="52"/>
  <c r="D15" i="52"/>
  <c r="D14" i="52"/>
  <c r="D13" i="52"/>
  <c r="D12" i="52"/>
  <c r="D11" i="52"/>
  <c r="D10" i="52"/>
  <c r="D9" i="52"/>
  <c r="D8" i="52"/>
  <c r="D7" i="52"/>
  <c r="D6" i="52"/>
  <c r="D5" i="52"/>
  <c r="D4" i="52"/>
  <c r="H14" i="6"/>
  <c r="E14" i="6"/>
  <c r="AF43" i="36" l="1"/>
  <c r="AA15" i="36"/>
  <c r="AG15" i="36"/>
  <c r="AA43" i="36"/>
  <c r="AF29" i="36"/>
  <c r="AG29" i="36" s="1"/>
  <c r="Z29" i="36"/>
  <c r="AA29" i="36" s="1"/>
  <c r="AG43" i="36"/>
  <c r="B10" i="54" l="1"/>
  <c r="B7" i="54"/>
  <c r="B6" i="54"/>
  <c r="B2" i="54"/>
  <c r="Y27" i="36" l="1"/>
  <c r="Y26" i="36"/>
  <c r="Y25" i="36"/>
  <c r="Y24" i="36"/>
  <c r="Y23" i="36"/>
  <c r="Y22" i="36"/>
  <c r="Y21" i="36"/>
  <c r="Y20" i="36"/>
  <c r="Y19" i="36"/>
  <c r="C34" i="52"/>
  <c r="C33" i="52"/>
  <c r="C32" i="52"/>
  <c r="C31" i="52"/>
  <c r="C30" i="52"/>
  <c r="C29" i="52"/>
  <c r="C28" i="52"/>
  <c r="C27" i="52"/>
  <c r="C24" i="52"/>
  <c r="C23" i="52"/>
  <c r="C22" i="52"/>
  <c r="C21" i="52"/>
  <c r="C20" i="52"/>
  <c r="C19" i="52"/>
  <c r="C18" i="52"/>
  <c r="C17" i="52"/>
  <c r="C16" i="52"/>
  <c r="C15" i="52"/>
  <c r="C13" i="52"/>
  <c r="C12" i="52"/>
  <c r="C11" i="52"/>
  <c r="C10" i="52"/>
  <c r="C9" i="52"/>
  <c r="C8" i="52"/>
  <c r="C7" i="52"/>
  <c r="C6" i="52"/>
  <c r="C5" i="52"/>
  <c r="C4" i="52"/>
  <c r="D34" i="52"/>
  <c r="D33" i="52"/>
  <c r="D32" i="52"/>
  <c r="D31" i="52"/>
  <c r="D30" i="52"/>
  <c r="D29" i="52"/>
  <c r="D28" i="52"/>
  <c r="D27" i="52"/>
  <c r="D24" i="52"/>
  <c r="D23" i="52"/>
  <c r="D22" i="52"/>
  <c r="D21" i="52"/>
  <c r="D20" i="52"/>
  <c r="D19" i="52"/>
  <c r="D18" i="52"/>
  <c r="D17" i="52"/>
  <c r="D16" i="52"/>
  <c r="Y40" i="36"/>
  <c r="Y39" i="36"/>
  <c r="Y38" i="36"/>
  <c r="Y37" i="36"/>
  <c r="Y36" i="36"/>
  <c r="Y35" i="36"/>
  <c r="Y34" i="36"/>
  <c r="Y33" i="36"/>
  <c r="AE27" i="36"/>
  <c r="AE26" i="36"/>
  <c r="AE25" i="36"/>
  <c r="AE24" i="36"/>
  <c r="AE23" i="36"/>
  <c r="AE22" i="36"/>
  <c r="AE21" i="36"/>
  <c r="AE20" i="36"/>
  <c r="AE19" i="36"/>
  <c r="Y13" i="36"/>
  <c r="Y12" i="36"/>
  <c r="Y11" i="36"/>
  <c r="Y10" i="36"/>
  <c r="Y9" i="36"/>
  <c r="Y8" i="36"/>
  <c r="Y7" i="36"/>
  <c r="Y6" i="36"/>
  <c r="BB13" i="36" l="1"/>
  <c r="BA13" i="36"/>
  <c r="BD13" i="36" s="1"/>
  <c r="AV13" i="36"/>
  <c r="AU13" i="36"/>
  <c r="AX13" i="36" s="1"/>
  <c r="AP13" i="36"/>
  <c r="AO13" i="36"/>
  <c r="AR13" i="36" s="1"/>
  <c r="AJ13" i="36"/>
  <c r="AI13" i="36"/>
  <c r="AL13" i="36" s="1"/>
  <c r="AF14" i="36"/>
  <c r="AM13" i="36" l="1"/>
  <c r="AY13" i="36"/>
  <c r="AG14" i="36"/>
  <c r="AS13" i="36"/>
  <c r="BE13" i="36"/>
  <c r="Z14" i="36"/>
  <c r="AA14" i="36" s="1"/>
  <c r="D63" i="49" l="1"/>
  <c r="D19" i="49"/>
  <c r="E34" i="49" s="1"/>
  <c r="D41" i="49"/>
  <c r="AG39" i="47"/>
  <c r="AG40" i="47"/>
  <c r="W39" i="47"/>
  <c r="W40" i="47"/>
  <c r="M39" i="47"/>
  <c r="M40" i="47"/>
  <c r="M41" i="47"/>
  <c r="D36" i="47"/>
  <c r="E36" i="47"/>
  <c r="F36" i="47"/>
  <c r="G36" i="47"/>
  <c r="H36" i="47"/>
  <c r="I36" i="47"/>
  <c r="J36" i="47"/>
  <c r="K36" i="47"/>
  <c r="L36" i="47"/>
  <c r="M36" i="47"/>
  <c r="N36" i="47"/>
  <c r="O36" i="47"/>
  <c r="P36" i="47"/>
  <c r="Q36" i="47"/>
  <c r="R36" i="47"/>
  <c r="S36" i="47"/>
  <c r="T36" i="47"/>
  <c r="U36" i="47"/>
  <c r="V36" i="47"/>
  <c r="W36" i="47"/>
  <c r="X36" i="47"/>
  <c r="Y36" i="47"/>
  <c r="Z36" i="47"/>
  <c r="AA36" i="47"/>
  <c r="AB36" i="47"/>
  <c r="AC36" i="47"/>
  <c r="AD36" i="47"/>
  <c r="AE36" i="47"/>
  <c r="AF36" i="47"/>
  <c r="AG36" i="47"/>
  <c r="AH36" i="47"/>
  <c r="C36" i="47"/>
  <c r="AI9" i="47"/>
  <c r="AJ9" i="47" s="1"/>
  <c r="AI10" i="47"/>
  <c r="AJ10" i="47" s="1"/>
  <c r="AK10" i="47" s="1"/>
  <c r="AI11" i="47"/>
  <c r="AJ11" i="47" s="1"/>
  <c r="AK11" i="47" s="1"/>
  <c r="AI12" i="47"/>
  <c r="AJ12" i="47" s="1"/>
  <c r="AK12" i="47" s="1"/>
  <c r="AI13" i="47"/>
  <c r="AJ13" i="47" s="1"/>
  <c r="AK13" i="47" s="1"/>
  <c r="AI14" i="47"/>
  <c r="AJ14" i="47" s="1"/>
  <c r="AK14" i="47" s="1"/>
  <c r="AI15" i="47"/>
  <c r="AJ15" i="47" s="1"/>
  <c r="AK15" i="47" s="1"/>
  <c r="AI16" i="47"/>
  <c r="AJ16" i="47" s="1"/>
  <c r="AK16" i="47" s="1"/>
  <c r="AI17" i="47"/>
  <c r="AJ17" i="47" s="1"/>
  <c r="AK17" i="47" s="1"/>
  <c r="AI18" i="47"/>
  <c r="AJ18" i="47" s="1"/>
  <c r="AK18" i="47" s="1"/>
  <c r="AI19" i="47"/>
  <c r="AJ19" i="47" s="1"/>
  <c r="AK19" i="47" s="1"/>
  <c r="AI20" i="47"/>
  <c r="AJ20" i="47" s="1"/>
  <c r="AK20" i="47" s="1"/>
  <c r="AI21" i="47"/>
  <c r="AJ21" i="47"/>
  <c r="AK21" i="47" s="1"/>
  <c r="AI22" i="47"/>
  <c r="AJ22" i="47" s="1"/>
  <c r="AK22" i="47" s="1"/>
  <c r="AI23" i="47"/>
  <c r="AJ23" i="47"/>
  <c r="AK23" i="47" s="1"/>
  <c r="AI24" i="47"/>
  <c r="AJ24" i="47" s="1"/>
  <c r="AK24" i="47" s="1"/>
  <c r="AI25" i="47"/>
  <c r="AJ25" i="47" s="1"/>
  <c r="AK25" i="47" s="1"/>
  <c r="AI26" i="47"/>
  <c r="AJ26" i="47" s="1"/>
  <c r="AK26" i="47" s="1"/>
  <c r="AI27" i="47"/>
  <c r="AJ27" i="47" s="1"/>
  <c r="AK27" i="47" s="1"/>
  <c r="AI28" i="47"/>
  <c r="AJ28" i="47" s="1"/>
  <c r="AK28" i="47" s="1"/>
  <c r="AI29" i="47"/>
  <c r="AJ29" i="47"/>
  <c r="AK29" i="47" s="1"/>
  <c r="AI30" i="47"/>
  <c r="AJ30" i="47" s="1"/>
  <c r="AK30" i="47" s="1"/>
  <c r="AI31" i="47"/>
  <c r="AJ31" i="47" s="1"/>
  <c r="AK31" i="47" s="1"/>
  <c r="AI32" i="47"/>
  <c r="AJ32" i="47" s="1"/>
  <c r="AK32" i="47" s="1"/>
  <c r="AI33" i="47"/>
  <c r="AJ33" i="47" s="1"/>
  <c r="AK33" i="47" s="1"/>
  <c r="AI34" i="47"/>
  <c r="AJ34" i="47" s="1"/>
  <c r="AK34" i="47" s="1"/>
  <c r="C35" i="47"/>
  <c r="L8" i="2"/>
  <c r="AI6" i="36"/>
  <c r="AL6" i="36" s="1"/>
  <c r="X40" i="36"/>
  <c r="E26" i="46"/>
  <c r="E25" i="46"/>
  <c r="E5" i="46"/>
  <c r="E6" i="46"/>
  <c r="E7" i="46"/>
  <c r="E8" i="46"/>
  <c r="E9" i="46"/>
  <c r="E10" i="46"/>
  <c r="E11" i="46"/>
  <c r="E12" i="46"/>
  <c r="E13" i="46"/>
  <c r="E14" i="46"/>
  <c r="E15" i="46"/>
  <c r="E16" i="46"/>
  <c r="E17" i="46"/>
  <c r="E18" i="46"/>
  <c r="E19" i="46"/>
  <c r="E20" i="46"/>
  <c r="E21" i="46"/>
  <c r="E22" i="46"/>
  <c r="E23" i="46"/>
  <c r="E24" i="46"/>
  <c r="E27" i="46"/>
  <c r="O28" i="46"/>
  <c r="Y28" i="46"/>
  <c r="AI28" i="46"/>
  <c r="AR28" i="46"/>
  <c r="BA28" i="46"/>
  <c r="BJ28" i="46"/>
  <c r="BS28" i="46"/>
  <c r="CB28" i="46"/>
  <c r="CK28" i="46"/>
  <c r="CT28" i="46"/>
  <c r="DC28" i="46"/>
  <c r="N28" i="46"/>
  <c r="X28" i="46"/>
  <c r="AH28" i="46"/>
  <c r="AQ28" i="46"/>
  <c r="AZ28" i="46"/>
  <c r="BI28" i="46"/>
  <c r="BR28" i="46"/>
  <c r="CA28" i="46"/>
  <c r="CJ28" i="46"/>
  <c r="CS28" i="46"/>
  <c r="DB28" i="46"/>
  <c r="M28" i="46"/>
  <c r="W28" i="46"/>
  <c r="AG28" i="46"/>
  <c r="AP28" i="46"/>
  <c r="AY28" i="46"/>
  <c r="BH28" i="46"/>
  <c r="BQ28" i="46"/>
  <c r="BZ28" i="46"/>
  <c r="CI28" i="46"/>
  <c r="CR28" i="46"/>
  <c r="DA28" i="46"/>
  <c r="L28" i="46"/>
  <c r="V28" i="46"/>
  <c r="AF28" i="46"/>
  <c r="AO28" i="46"/>
  <c r="AX28" i="46"/>
  <c r="BG28" i="46"/>
  <c r="BP28" i="46"/>
  <c r="BY28" i="46"/>
  <c r="CH28" i="46"/>
  <c r="CQ28" i="46"/>
  <c r="CZ28" i="46"/>
  <c r="K28" i="46"/>
  <c r="U28" i="46"/>
  <c r="AE28" i="46"/>
  <c r="J28" i="46"/>
  <c r="T28" i="46"/>
  <c r="AD28" i="46"/>
  <c r="AN28" i="46"/>
  <c r="AW28" i="46"/>
  <c r="BF28" i="46"/>
  <c r="BO28" i="46"/>
  <c r="BX28" i="46"/>
  <c r="CG28" i="46"/>
  <c r="CP28" i="46"/>
  <c r="CY28" i="46"/>
  <c r="I28" i="46"/>
  <c r="S28" i="46"/>
  <c r="AC28" i="46"/>
  <c r="AM28" i="46"/>
  <c r="AV28" i="46"/>
  <c r="BE28" i="46"/>
  <c r="BN28" i="46"/>
  <c r="BW28" i="46"/>
  <c r="CF28" i="46"/>
  <c r="CO28" i="46"/>
  <c r="CX28" i="46"/>
  <c r="BV28" i="46"/>
  <c r="CE28" i="46"/>
  <c r="K35" i="46" s="1"/>
  <c r="CN28" i="46"/>
  <c r="CW28" i="46"/>
  <c r="AL28" i="46"/>
  <c r="AU28" i="46"/>
  <c r="K34" i="46" s="1"/>
  <c r="BD28" i="46"/>
  <c r="BM28" i="46"/>
  <c r="H28" i="46"/>
  <c r="R28" i="46"/>
  <c r="AB28" i="46"/>
  <c r="G28" i="46"/>
  <c r="Q28" i="46"/>
  <c r="AA28" i="46"/>
  <c r="AK28" i="46"/>
  <c r="AT28" i="46"/>
  <c r="BC28" i="46"/>
  <c r="BL28" i="46"/>
  <c r="BU28" i="46"/>
  <c r="CD28" i="46"/>
  <c r="CM28" i="46"/>
  <c r="CV28" i="46"/>
  <c r="F28" i="46"/>
  <c r="P28" i="46"/>
  <c r="Z28" i="46"/>
  <c r="AJ28" i="46"/>
  <c r="AS28" i="46"/>
  <c r="BB28" i="46"/>
  <c r="BK28" i="46"/>
  <c r="BT28" i="46"/>
  <c r="CC28" i="46"/>
  <c r="CL28" i="46"/>
  <c r="CU28" i="46"/>
  <c r="E55" i="2"/>
  <c r="E56" i="2" s="1"/>
  <c r="L13" i="2"/>
  <c r="L12" i="2"/>
  <c r="L11" i="2"/>
  <c r="L10" i="2"/>
  <c r="L9" i="2"/>
  <c r="L7" i="2"/>
  <c r="L6" i="2"/>
  <c r="L5" i="2"/>
  <c r="L4" i="2"/>
  <c r="L3" i="2"/>
  <c r="L2" i="2"/>
  <c r="D9" i="2"/>
  <c r="F9" i="2" s="1"/>
  <c r="K9" i="2" s="1"/>
  <c r="C9" i="2"/>
  <c r="B15" i="6"/>
  <c r="H31" i="45"/>
  <c r="E31" i="45"/>
  <c r="B31" i="45"/>
  <c r="H13" i="45"/>
  <c r="E13" i="45"/>
  <c r="B13" i="45"/>
  <c r="C2" i="2"/>
  <c r="D2" i="2"/>
  <c r="C13" i="2"/>
  <c r="D13" i="2"/>
  <c r="F13" i="2" s="1"/>
  <c r="K13" i="2" s="1"/>
  <c r="C5" i="2"/>
  <c r="D5" i="2"/>
  <c r="F5" i="2" s="1"/>
  <c r="K5" i="2" s="1"/>
  <c r="C3" i="2"/>
  <c r="D3" i="2"/>
  <c r="F3" i="2" s="1"/>
  <c r="K3" i="2" s="1"/>
  <c r="C6" i="2"/>
  <c r="D6" i="2"/>
  <c r="F6" i="2" s="1"/>
  <c r="K6" i="2" s="1"/>
  <c r="C8" i="2"/>
  <c r="D8" i="2"/>
  <c r="F8" i="2" s="1"/>
  <c r="K8" i="2" s="1"/>
  <c r="C11" i="2"/>
  <c r="D11" i="2"/>
  <c r="F11" i="2" s="1"/>
  <c r="K11" i="2" s="1"/>
  <c r="BB37" i="36"/>
  <c r="BA37" i="36"/>
  <c r="BD37" i="36" s="1"/>
  <c r="BB36" i="36"/>
  <c r="BA36" i="36"/>
  <c r="BD36" i="36" s="1"/>
  <c r="BB35" i="36"/>
  <c r="BA35" i="36"/>
  <c r="BD35" i="36" s="1"/>
  <c r="BB34" i="36"/>
  <c r="BA34" i="36"/>
  <c r="BD34" i="36" s="1"/>
  <c r="BB33" i="36"/>
  <c r="BA33" i="36"/>
  <c r="BD33" i="36" s="1"/>
  <c r="BB32" i="36"/>
  <c r="BA32" i="36"/>
  <c r="BD32" i="36" s="1"/>
  <c r="BB31" i="36"/>
  <c r="BA31" i="36"/>
  <c r="BD31" i="36" s="1"/>
  <c r="BB30" i="36"/>
  <c r="BA30" i="36"/>
  <c r="BD30" i="36" s="1"/>
  <c r="BB29" i="36"/>
  <c r="BA29" i="36"/>
  <c r="BD29" i="36" s="1"/>
  <c r="BB28" i="36"/>
  <c r="BA28" i="36"/>
  <c r="BD28" i="36" s="1"/>
  <c r="AV37" i="36"/>
  <c r="AU37" i="36"/>
  <c r="AX37" i="36" s="1"/>
  <c r="AV36" i="36"/>
  <c r="AU36" i="36"/>
  <c r="AX36" i="36" s="1"/>
  <c r="AV35" i="36"/>
  <c r="AU35" i="36"/>
  <c r="AX35" i="36" s="1"/>
  <c r="AV34" i="36"/>
  <c r="AU34" i="36"/>
  <c r="AX34" i="36" s="1"/>
  <c r="AV33" i="36"/>
  <c r="AU33" i="36"/>
  <c r="AX33" i="36" s="1"/>
  <c r="AV32" i="36"/>
  <c r="AU32" i="36"/>
  <c r="AX32" i="36" s="1"/>
  <c r="AV31" i="36"/>
  <c r="AU31" i="36"/>
  <c r="AX31" i="36" s="1"/>
  <c r="AV30" i="36"/>
  <c r="AU30" i="36"/>
  <c r="AX30" i="36" s="1"/>
  <c r="AV29" i="36"/>
  <c r="AU29" i="36"/>
  <c r="AX29" i="36" s="1"/>
  <c r="AV28" i="36"/>
  <c r="AU28" i="36"/>
  <c r="AX28" i="36" s="1"/>
  <c r="AP37" i="36"/>
  <c r="AO37" i="36"/>
  <c r="AR37" i="36" s="1"/>
  <c r="AP36" i="36"/>
  <c r="AO36" i="36"/>
  <c r="AR36" i="36" s="1"/>
  <c r="AP35" i="36"/>
  <c r="AO35" i="36"/>
  <c r="AR35" i="36" s="1"/>
  <c r="AP34" i="36"/>
  <c r="AO34" i="36"/>
  <c r="AR34" i="36" s="1"/>
  <c r="AP33" i="36"/>
  <c r="AO33" i="36"/>
  <c r="AR33" i="36" s="1"/>
  <c r="AP32" i="36"/>
  <c r="AO32" i="36"/>
  <c r="AR32" i="36" s="1"/>
  <c r="AP31" i="36"/>
  <c r="AO31" i="36"/>
  <c r="AR31" i="36" s="1"/>
  <c r="AP30" i="36"/>
  <c r="AO30" i="36"/>
  <c r="AR30" i="36" s="1"/>
  <c r="AP29" i="36"/>
  <c r="AO29" i="36"/>
  <c r="AR29" i="36" s="1"/>
  <c r="AP28" i="36"/>
  <c r="AO28" i="36"/>
  <c r="AR28" i="36" s="1"/>
  <c r="AJ37" i="36"/>
  <c r="AI37" i="36"/>
  <c r="AL37" i="36" s="1"/>
  <c r="AJ36" i="36"/>
  <c r="AI36" i="36"/>
  <c r="AL36" i="36" s="1"/>
  <c r="AJ35" i="36"/>
  <c r="AI35" i="36"/>
  <c r="AL35" i="36" s="1"/>
  <c r="AJ34" i="36"/>
  <c r="AI34" i="36"/>
  <c r="AL34" i="36" s="1"/>
  <c r="AJ33" i="36"/>
  <c r="AI33" i="36"/>
  <c r="AL33" i="36" s="1"/>
  <c r="AJ32" i="36"/>
  <c r="AI32" i="36"/>
  <c r="AL32" i="36" s="1"/>
  <c r="AJ31" i="36"/>
  <c r="AI31" i="36"/>
  <c r="AL31" i="36" s="1"/>
  <c r="AJ30" i="36"/>
  <c r="AI30" i="36"/>
  <c r="AL30" i="36" s="1"/>
  <c r="AJ29" i="36"/>
  <c r="AI29" i="36"/>
  <c r="AL29" i="36" s="1"/>
  <c r="AJ28" i="36"/>
  <c r="AI28" i="36"/>
  <c r="AL28" i="36" s="1"/>
  <c r="AD42" i="36"/>
  <c r="AC42" i="36"/>
  <c r="AF42" i="36" s="1"/>
  <c r="AD41" i="36"/>
  <c r="AC41" i="36"/>
  <c r="AF41" i="36" s="1"/>
  <c r="AD40" i="36"/>
  <c r="AC40" i="36"/>
  <c r="AF40" i="36" s="1"/>
  <c r="AD39" i="36"/>
  <c r="AC39" i="36"/>
  <c r="AF39" i="36" s="1"/>
  <c r="AD38" i="36"/>
  <c r="AC38" i="36"/>
  <c r="AF38" i="36"/>
  <c r="AD37" i="36"/>
  <c r="AC37" i="36"/>
  <c r="AF37" i="36" s="1"/>
  <c r="AD36" i="36"/>
  <c r="AC36" i="36"/>
  <c r="AF36" i="36" s="1"/>
  <c r="AD35" i="36"/>
  <c r="AC35" i="36"/>
  <c r="AF35" i="36" s="1"/>
  <c r="AD34" i="36"/>
  <c r="AC34" i="36"/>
  <c r="AF34" i="36" s="1"/>
  <c r="AD33" i="36"/>
  <c r="AC33" i="36"/>
  <c r="AF33" i="36" s="1"/>
  <c r="BB25" i="36"/>
  <c r="BA25" i="36"/>
  <c r="BD25" i="36" s="1"/>
  <c r="BB24" i="36"/>
  <c r="BA24" i="36"/>
  <c r="BD24" i="36" s="1"/>
  <c r="BB23" i="36"/>
  <c r="BA23" i="36"/>
  <c r="BD23" i="36" s="1"/>
  <c r="BB22" i="36"/>
  <c r="BA22" i="36"/>
  <c r="BD22" i="36" s="1"/>
  <c r="BB21" i="36"/>
  <c r="BA21" i="36"/>
  <c r="BD21" i="36" s="1"/>
  <c r="BB20" i="36"/>
  <c r="BA20" i="36"/>
  <c r="BD20" i="36" s="1"/>
  <c r="BB19" i="36"/>
  <c r="BA19" i="36"/>
  <c r="BD19" i="36" s="1"/>
  <c r="BB18" i="36"/>
  <c r="BA18" i="36"/>
  <c r="BD18" i="36" s="1"/>
  <c r="BB17" i="36"/>
  <c r="BA17" i="36"/>
  <c r="BD17" i="36" s="1"/>
  <c r="BB16" i="36"/>
  <c r="BA16" i="36"/>
  <c r="BD16" i="36" s="1"/>
  <c r="AV25" i="36"/>
  <c r="AU25" i="36"/>
  <c r="AX25" i="36" s="1"/>
  <c r="AV24" i="36"/>
  <c r="AU24" i="36"/>
  <c r="AX24" i="36" s="1"/>
  <c r="AV23" i="36"/>
  <c r="AU23" i="36"/>
  <c r="AX23" i="36" s="1"/>
  <c r="AV22" i="36"/>
  <c r="AU22" i="36"/>
  <c r="AX22" i="36" s="1"/>
  <c r="AV21" i="36"/>
  <c r="AU21" i="36"/>
  <c r="AX21" i="36" s="1"/>
  <c r="AV20" i="36"/>
  <c r="AU20" i="36"/>
  <c r="AX20" i="36" s="1"/>
  <c r="AV19" i="36"/>
  <c r="AU19" i="36"/>
  <c r="AX19" i="36" s="1"/>
  <c r="AV18" i="36"/>
  <c r="AU18" i="36"/>
  <c r="AX18" i="36" s="1"/>
  <c r="AV17" i="36"/>
  <c r="AU17" i="36"/>
  <c r="AX17" i="36" s="1"/>
  <c r="AV16" i="36"/>
  <c r="AU16" i="36"/>
  <c r="AX16" i="36" s="1"/>
  <c r="AP25" i="36"/>
  <c r="AO25" i="36"/>
  <c r="AR25" i="36" s="1"/>
  <c r="AP24" i="36"/>
  <c r="AO24" i="36"/>
  <c r="AR24" i="36" s="1"/>
  <c r="AP23" i="36"/>
  <c r="AO23" i="36"/>
  <c r="AR23" i="36" s="1"/>
  <c r="AP22" i="36"/>
  <c r="AO22" i="36"/>
  <c r="AR22" i="36" s="1"/>
  <c r="AP21" i="36"/>
  <c r="AO21" i="36"/>
  <c r="AR21" i="36" s="1"/>
  <c r="AP20" i="36"/>
  <c r="AO20" i="36"/>
  <c r="AR20" i="36" s="1"/>
  <c r="AP19" i="36"/>
  <c r="AO19" i="36"/>
  <c r="AR19" i="36" s="1"/>
  <c r="AP18" i="36"/>
  <c r="AO18" i="36"/>
  <c r="AR18" i="36" s="1"/>
  <c r="AP17" i="36"/>
  <c r="AO17" i="36"/>
  <c r="AR17" i="36" s="1"/>
  <c r="AP16" i="36"/>
  <c r="AO16" i="36"/>
  <c r="AR16" i="36" s="1"/>
  <c r="AJ25" i="36"/>
  <c r="AI25" i="36"/>
  <c r="AL25" i="36" s="1"/>
  <c r="AJ24" i="36"/>
  <c r="AI24" i="36"/>
  <c r="AL24" i="36" s="1"/>
  <c r="AJ23" i="36"/>
  <c r="AI23" i="36"/>
  <c r="AL23" i="36" s="1"/>
  <c r="AJ22" i="36"/>
  <c r="AI22" i="36"/>
  <c r="AL22" i="36" s="1"/>
  <c r="AJ21" i="36"/>
  <c r="AI21" i="36"/>
  <c r="AL21" i="36" s="1"/>
  <c r="AJ20" i="36"/>
  <c r="AI20" i="36"/>
  <c r="AL20" i="36" s="1"/>
  <c r="AJ19" i="36"/>
  <c r="AI19" i="36"/>
  <c r="AL19" i="36" s="1"/>
  <c r="AJ18" i="36"/>
  <c r="AI18" i="36"/>
  <c r="AL18" i="36"/>
  <c r="AJ17" i="36"/>
  <c r="AI17" i="36"/>
  <c r="AL17" i="36" s="1"/>
  <c r="AJ16" i="36"/>
  <c r="AI16" i="36"/>
  <c r="AL16" i="36" s="1"/>
  <c r="BB4" i="36"/>
  <c r="BA4" i="36"/>
  <c r="BD4" i="36" s="1"/>
  <c r="BB5" i="36"/>
  <c r="BA5" i="36"/>
  <c r="BD5" i="36" s="1"/>
  <c r="BB6" i="36"/>
  <c r="BA6" i="36"/>
  <c r="BD6" i="36" s="1"/>
  <c r="BB7" i="36"/>
  <c r="BA7" i="36"/>
  <c r="BD7" i="36" s="1"/>
  <c r="BB8" i="36"/>
  <c r="BA8" i="36"/>
  <c r="BD8" i="36" s="1"/>
  <c r="BB9" i="36"/>
  <c r="BA9" i="36"/>
  <c r="BD9" i="36" s="1"/>
  <c r="BB10" i="36"/>
  <c r="BA10" i="36"/>
  <c r="BD10" i="36" s="1"/>
  <c r="BB11" i="36"/>
  <c r="BA11" i="36"/>
  <c r="BD11" i="36" s="1"/>
  <c r="BB12" i="36"/>
  <c r="BA12" i="36"/>
  <c r="BD12" i="36" s="1"/>
  <c r="AV4" i="36"/>
  <c r="AU4" i="36"/>
  <c r="AX4" i="36" s="1"/>
  <c r="AV5" i="36"/>
  <c r="AU5" i="36"/>
  <c r="AX5" i="36" s="1"/>
  <c r="AV6" i="36"/>
  <c r="AU6" i="36"/>
  <c r="AX6" i="36" s="1"/>
  <c r="AV7" i="36"/>
  <c r="AU7" i="36"/>
  <c r="AX7" i="36" s="1"/>
  <c r="AV8" i="36"/>
  <c r="AU8" i="36"/>
  <c r="AX8" i="36" s="1"/>
  <c r="AV9" i="36"/>
  <c r="AU9" i="36"/>
  <c r="AX9" i="36" s="1"/>
  <c r="AV10" i="36"/>
  <c r="AU10" i="36"/>
  <c r="AX10" i="36" s="1"/>
  <c r="AV11" i="36"/>
  <c r="AU11" i="36"/>
  <c r="AX11" i="36" s="1"/>
  <c r="AV12" i="36"/>
  <c r="AU12" i="36"/>
  <c r="AX12" i="36" s="1"/>
  <c r="AP4" i="36"/>
  <c r="AO4" i="36"/>
  <c r="AR4" i="36" s="1"/>
  <c r="AP5" i="36"/>
  <c r="AO5" i="36"/>
  <c r="AR5" i="36" s="1"/>
  <c r="AP6" i="36"/>
  <c r="AO6" i="36"/>
  <c r="AR6" i="36" s="1"/>
  <c r="AP7" i="36"/>
  <c r="AO7" i="36"/>
  <c r="AR7" i="36" s="1"/>
  <c r="AP8" i="36"/>
  <c r="AO8" i="36"/>
  <c r="AR8" i="36" s="1"/>
  <c r="AP9" i="36"/>
  <c r="AO9" i="36"/>
  <c r="AR9" i="36" s="1"/>
  <c r="AP10" i="36"/>
  <c r="AO10" i="36"/>
  <c r="AR10" i="36" s="1"/>
  <c r="AP11" i="36"/>
  <c r="AO11" i="36"/>
  <c r="AR11" i="36" s="1"/>
  <c r="AP12" i="36"/>
  <c r="AO12" i="36"/>
  <c r="AR12" i="36" s="1"/>
  <c r="AJ4" i="36"/>
  <c r="AI4" i="36"/>
  <c r="AL4" i="36" s="1"/>
  <c r="AJ5" i="36"/>
  <c r="AI5" i="36"/>
  <c r="AL5" i="36" s="1"/>
  <c r="AJ6" i="36"/>
  <c r="AM6" i="36" s="1"/>
  <c r="AJ7" i="36"/>
  <c r="AI7" i="36"/>
  <c r="AL7" i="36" s="1"/>
  <c r="AJ8" i="36"/>
  <c r="AI8" i="36"/>
  <c r="AL8" i="36" s="1"/>
  <c r="AJ9" i="36"/>
  <c r="AI9" i="36"/>
  <c r="AL9" i="36" s="1"/>
  <c r="AJ11" i="36"/>
  <c r="AI11" i="36"/>
  <c r="AL11" i="36" s="1"/>
  <c r="AJ12" i="36"/>
  <c r="AI12" i="36"/>
  <c r="AL12" i="36" s="1"/>
  <c r="AD5" i="36"/>
  <c r="W5" i="36"/>
  <c r="AD6" i="36"/>
  <c r="W6" i="36"/>
  <c r="AF6" i="36" s="1"/>
  <c r="AD7" i="36"/>
  <c r="W7" i="36"/>
  <c r="AD9" i="36"/>
  <c r="W9" i="36"/>
  <c r="AF9" i="36" s="1"/>
  <c r="AD10" i="36"/>
  <c r="W10" i="36"/>
  <c r="AD11" i="36"/>
  <c r="W11" i="36"/>
  <c r="AF11" i="36" s="1"/>
  <c r="AD12" i="36"/>
  <c r="W12" i="36"/>
  <c r="AD13" i="36"/>
  <c r="W13" i="36"/>
  <c r="W33" i="36"/>
  <c r="Z33" i="36" s="1"/>
  <c r="W34" i="36"/>
  <c r="Z34" i="36" s="1"/>
  <c r="W35" i="36"/>
  <c r="Z35" i="36" s="1"/>
  <c r="W36" i="36"/>
  <c r="Z36" i="36" s="1"/>
  <c r="W37" i="36"/>
  <c r="Z37" i="36" s="1"/>
  <c r="W38" i="36"/>
  <c r="Z38" i="36" s="1"/>
  <c r="W39" i="36"/>
  <c r="Z39" i="36" s="1"/>
  <c r="W40" i="36"/>
  <c r="Z40" i="36" s="1"/>
  <c r="W41" i="36"/>
  <c r="Z41" i="36" s="1"/>
  <c r="W42" i="36"/>
  <c r="Z42" i="36" s="1"/>
  <c r="AC19" i="36"/>
  <c r="AF19" i="36" s="1"/>
  <c r="AD19" i="36"/>
  <c r="AC20" i="36"/>
  <c r="AF20" i="36" s="1"/>
  <c r="AD20" i="36"/>
  <c r="AC21" i="36"/>
  <c r="AF21" i="36" s="1"/>
  <c r="AD21" i="36"/>
  <c r="AC22" i="36"/>
  <c r="AF22" i="36" s="1"/>
  <c r="AD22" i="36"/>
  <c r="AC23" i="36"/>
  <c r="AF23" i="36" s="1"/>
  <c r="AD23" i="36"/>
  <c r="AC24" i="36"/>
  <c r="AF24" i="36" s="1"/>
  <c r="AD24" i="36"/>
  <c r="AC25" i="36"/>
  <c r="AF25" i="36" s="1"/>
  <c r="AD25" i="36"/>
  <c r="AC26" i="36"/>
  <c r="AF26" i="36" s="1"/>
  <c r="AD26" i="36"/>
  <c r="AC27" i="36"/>
  <c r="AF27" i="36" s="1"/>
  <c r="AD27" i="36"/>
  <c r="AC28" i="36"/>
  <c r="AF28" i="36" s="1"/>
  <c r="AD28" i="36"/>
  <c r="BA3" i="36"/>
  <c r="BD3" i="36" s="1"/>
  <c r="BB3" i="36"/>
  <c r="AU3" i="36"/>
  <c r="AX3" i="36" s="1"/>
  <c r="AV3" i="36"/>
  <c r="AO3" i="36"/>
  <c r="AR3" i="36" s="1"/>
  <c r="AP3" i="36"/>
  <c r="AI3" i="36"/>
  <c r="AL3" i="36" s="1"/>
  <c r="AJ3" i="36"/>
  <c r="AI10" i="36"/>
  <c r="AL10" i="36" s="1"/>
  <c r="AJ10" i="36"/>
  <c r="W4" i="36"/>
  <c r="AF4" i="36" s="1"/>
  <c r="AD4" i="36"/>
  <c r="W8" i="36"/>
  <c r="Z8" i="36" s="1"/>
  <c r="AD8" i="36"/>
  <c r="X33" i="36"/>
  <c r="X34" i="36"/>
  <c r="X35" i="36"/>
  <c r="X36" i="36"/>
  <c r="X37" i="36"/>
  <c r="X38" i="36"/>
  <c r="X39" i="36"/>
  <c r="X41" i="36"/>
  <c r="X42" i="36"/>
  <c r="X19" i="36"/>
  <c r="X20" i="36"/>
  <c r="X21" i="36"/>
  <c r="X22" i="36"/>
  <c r="X23" i="36"/>
  <c r="X24" i="36"/>
  <c r="X25" i="36"/>
  <c r="X26" i="36"/>
  <c r="X27" i="36"/>
  <c r="X28" i="36"/>
  <c r="W19" i="36"/>
  <c r="Z19" i="36" s="1"/>
  <c r="AC13" i="36"/>
  <c r="AC12" i="36"/>
  <c r="AC11" i="36"/>
  <c r="AC10" i="36"/>
  <c r="AC9" i="36"/>
  <c r="AC8" i="36"/>
  <c r="AC7" i="36"/>
  <c r="AC6" i="36"/>
  <c r="AC5" i="36"/>
  <c r="AC4" i="36"/>
  <c r="F50" i="44"/>
  <c r="F49" i="44"/>
  <c r="F48" i="44"/>
  <c r="F46" i="44"/>
  <c r="F45" i="44"/>
  <c r="F44" i="44"/>
  <c r="F42" i="44"/>
  <c r="F41" i="44"/>
  <c r="E50" i="44"/>
  <c r="E49" i="44"/>
  <c r="E48" i="44"/>
  <c r="E46" i="44"/>
  <c r="E45" i="44"/>
  <c r="E44" i="44"/>
  <c r="E42" i="44"/>
  <c r="E41" i="44"/>
  <c r="D50" i="44"/>
  <c r="D49" i="44"/>
  <c r="D48" i="44"/>
  <c r="D46" i="44"/>
  <c r="D45" i="44"/>
  <c r="D44" i="44"/>
  <c r="D42" i="44"/>
  <c r="D41" i="44"/>
  <c r="C50" i="44"/>
  <c r="C49" i="44"/>
  <c r="C48" i="44"/>
  <c r="C46" i="44"/>
  <c r="C45" i="44"/>
  <c r="C44" i="44"/>
  <c r="C42" i="44"/>
  <c r="C41" i="44"/>
  <c r="B50" i="44"/>
  <c r="B49" i="44"/>
  <c r="B48" i="44"/>
  <c r="B46" i="44"/>
  <c r="B45" i="44"/>
  <c r="B44" i="44"/>
  <c r="B42" i="44"/>
  <c r="B41" i="44"/>
  <c r="F34" i="44"/>
  <c r="E34" i="44"/>
  <c r="D34" i="44"/>
  <c r="C34" i="44"/>
  <c r="B34" i="44"/>
  <c r="F19" i="44"/>
  <c r="E19" i="44"/>
  <c r="D19" i="44"/>
  <c r="C19" i="44"/>
  <c r="B19" i="44"/>
  <c r="F27" i="42"/>
  <c r="E27" i="42"/>
  <c r="D27" i="42"/>
  <c r="C27" i="42"/>
  <c r="B27" i="42"/>
  <c r="F12" i="42"/>
  <c r="E12" i="42"/>
  <c r="D12" i="42"/>
  <c r="C12" i="42"/>
  <c r="B12" i="42"/>
  <c r="F18" i="44"/>
  <c r="F18" i="43"/>
  <c r="F32" i="43"/>
  <c r="E32" i="43"/>
  <c r="D32" i="43"/>
  <c r="C32" i="43"/>
  <c r="B32" i="43"/>
  <c r="F31" i="43"/>
  <c r="E31" i="43"/>
  <c r="D31" i="43"/>
  <c r="C31" i="43"/>
  <c r="B31" i="43"/>
  <c r="F29" i="43"/>
  <c r="E29" i="43"/>
  <c r="D29" i="43"/>
  <c r="C29" i="43"/>
  <c r="B29" i="43"/>
  <c r="F28" i="43"/>
  <c r="E28" i="43"/>
  <c r="D28" i="43"/>
  <c r="C28" i="43"/>
  <c r="B28" i="43"/>
  <c r="F27" i="43"/>
  <c r="E27" i="43"/>
  <c r="D27" i="43"/>
  <c r="C27" i="43"/>
  <c r="B27" i="43"/>
  <c r="F25" i="43"/>
  <c r="E25" i="43"/>
  <c r="D25" i="43"/>
  <c r="C25" i="43"/>
  <c r="B25" i="43"/>
  <c r="F24" i="43"/>
  <c r="E24" i="43"/>
  <c r="D24" i="43"/>
  <c r="C24" i="43"/>
  <c r="B24" i="43"/>
  <c r="E18" i="43"/>
  <c r="D18" i="43"/>
  <c r="C18" i="43"/>
  <c r="B18" i="43"/>
  <c r="F17" i="43"/>
  <c r="E17" i="43"/>
  <c r="D17" i="43"/>
  <c r="C17" i="43"/>
  <c r="B17" i="43"/>
  <c r="F15" i="43"/>
  <c r="E15" i="43"/>
  <c r="D15" i="43"/>
  <c r="C15" i="43"/>
  <c r="B15" i="43"/>
  <c r="F14" i="43"/>
  <c r="E14" i="43"/>
  <c r="D14" i="43"/>
  <c r="C14" i="43"/>
  <c r="B14" i="43"/>
  <c r="F13" i="43"/>
  <c r="E13" i="43"/>
  <c r="D13" i="43"/>
  <c r="C13" i="43"/>
  <c r="B13" i="43"/>
  <c r="F11" i="43"/>
  <c r="E11" i="43"/>
  <c r="D11" i="43"/>
  <c r="C11" i="43"/>
  <c r="B11" i="43"/>
  <c r="F10" i="43"/>
  <c r="E10" i="43"/>
  <c r="D10" i="43"/>
  <c r="C10" i="43"/>
  <c r="B10" i="43"/>
  <c r="F33" i="44"/>
  <c r="E33" i="44"/>
  <c r="D33" i="44"/>
  <c r="C33" i="44"/>
  <c r="B33" i="44"/>
  <c r="F32" i="44"/>
  <c r="E32" i="44"/>
  <c r="D32" i="44"/>
  <c r="C32" i="44"/>
  <c r="B32" i="44"/>
  <c r="F30" i="44"/>
  <c r="E30" i="44"/>
  <c r="D30" i="44"/>
  <c r="C30" i="44"/>
  <c r="B30" i="44"/>
  <c r="F29" i="44"/>
  <c r="E29" i="44"/>
  <c r="D29" i="44"/>
  <c r="C29" i="44"/>
  <c r="B29" i="44"/>
  <c r="F28" i="44"/>
  <c r="E28" i="44"/>
  <c r="D28" i="44"/>
  <c r="C28" i="44"/>
  <c r="B28" i="44"/>
  <c r="F26" i="44"/>
  <c r="E26" i="44"/>
  <c r="D26" i="44"/>
  <c r="C26" i="44"/>
  <c r="B26" i="44"/>
  <c r="F25" i="44"/>
  <c r="E25" i="44"/>
  <c r="D25" i="44"/>
  <c r="C25" i="44"/>
  <c r="B25" i="44"/>
  <c r="E18" i="44"/>
  <c r="D18" i="44"/>
  <c r="C18" i="44"/>
  <c r="B18" i="44"/>
  <c r="F17" i="44"/>
  <c r="E17" i="44"/>
  <c r="D17" i="44"/>
  <c r="C17" i="44"/>
  <c r="B17" i="44"/>
  <c r="F15" i="44"/>
  <c r="E15" i="44"/>
  <c r="D15" i="44"/>
  <c r="C15" i="44"/>
  <c r="B15" i="44"/>
  <c r="F14" i="44"/>
  <c r="E14" i="44"/>
  <c r="D14" i="44"/>
  <c r="C14" i="44"/>
  <c r="B14" i="44"/>
  <c r="F13" i="44"/>
  <c r="E13" i="44"/>
  <c r="D13" i="44"/>
  <c r="C13" i="44"/>
  <c r="B13" i="44"/>
  <c r="F11" i="44"/>
  <c r="E11" i="44"/>
  <c r="D11" i="44"/>
  <c r="C11" i="44"/>
  <c r="B11" i="44"/>
  <c r="F10" i="44"/>
  <c r="E10" i="44"/>
  <c r="D10" i="44"/>
  <c r="C10" i="44"/>
  <c r="B10" i="44"/>
  <c r="F26" i="42"/>
  <c r="F25" i="42"/>
  <c r="F23" i="42"/>
  <c r="F22" i="42"/>
  <c r="F21" i="42"/>
  <c r="F19" i="42"/>
  <c r="F18" i="42"/>
  <c r="E26" i="42"/>
  <c r="E25" i="42"/>
  <c r="E23" i="42"/>
  <c r="E22" i="42"/>
  <c r="E21" i="42"/>
  <c r="E19" i="42"/>
  <c r="E18" i="42"/>
  <c r="D26" i="42"/>
  <c r="D25" i="42"/>
  <c r="D23" i="42"/>
  <c r="D22" i="42"/>
  <c r="D21" i="42"/>
  <c r="D19" i="42"/>
  <c r="D18" i="42"/>
  <c r="C26" i="42"/>
  <c r="C25" i="42"/>
  <c r="C23" i="42"/>
  <c r="C22" i="42"/>
  <c r="C21" i="42"/>
  <c r="C19" i="42"/>
  <c r="C18" i="42"/>
  <c r="B26" i="42"/>
  <c r="B25" i="42"/>
  <c r="B23" i="42"/>
  <c r="B22" i="42"/>
  <c r="B21" i="42"/>
  <c r="B19" i="42"/>
  <c r="B18" i="42"/>
  <c r="F11" i="42"/>
  <c r="F10" i="42"/>
  <c r="F8" i="42"/>
  <c r="F7" i="42"/>
  <c r="F6" i="42"/>
  <c r="F4" i="42"/>
  <c r="F3" i="42"/>
  <c r="E11" i="42"/>
  <c r="E10" i="42"/>
  <c r="E8" i="42"/>
  <c r="E7" i="42"/>
  <c r="E6" i="42"/>
  <c r="E4" i="42"/>
  <c r="E3" i="42"/>
  <c r="D11" i="42"/>
  <c r="D10" i="42"/>
  <c r="D8" i="42"/>
  <c r="D7" i="42"/>
  <c r="D6" i="42"/>
  <c r="D4" i="42"/>
  <c r="D3" i="42"/>
  <c r="C11" i="42"/>
  <c r="C10" i="42"/>
  <c r="C8" i="42"/>
  <c r="C7" i="42"/>
  <c r="C6" i="42"/>
  <c r="C4" i="42"/>
  <c r="C3" i="42"/>
  <c r="B11" i="42"/>
  <c r="B10" i="42"/>
  <c r="B8" i="42"/>
  <c r="B7" i="42"/>
  <c r="B6" i="42"/>
  <c r="B3" i="42"/>
  <c r="B4" i="42"/>
  <c r="D7" i="2"/>
  <c r="F7" i="2" s="1"/>
  <c r="K7" i="2" s="1"/>
  <c r="C7" i="2"/>
  <c r="Q38" i="39" a="1"/>
  <c r="Q38" i="39" s="1"/>
  <c r="N38" i="39"/>
  <c r="M38" i="39"/>
  <c r="L38" i="39"/>
  <c r="L36" i="39"/>
  <c r="K36" i="39"/>
  <c r="N36" i="39" s="1"/>
  <c r="O36" i="39" s="1"/>
  <c r="L35" i="39"/>
  <c r="K35" i="39"/>
  <c r="N35" i="39" s="1"/>
  <c r="L34" i="39"/>
  <c r="K34" i="39"/>
  <c r="L33" i="39"/>
  <c r="K33" i="39"/>
  <c r="R33" i="39" s="1"/>
  <c r="L32" i="39"/>
  <c r="K32" i="39"/>
  <c r="R32" i="39" s="1"/>
  <c r="L31" i="39"/>
  <c r="K31" i="39"/>
  <c r="N31" i="39" s="1"/>
  <c r="O31" i="39" s="1"/>
  <c r="L30" i="39"/>
  <c r="K30" i="39"/>
  <c r="R30" i="39" s="1"/>
  <c r="L29" i="39"/>
  <c r="K29" i="39"/>
  <c r="R29" i="39" s="1"/>
  <c r="L28" i="39"/>
  <c r="K28" i="39"/>
  <c r="R28" i="39" s="1"/>
  <c r="L27" i="39"/>
  <c r="K27" i="39"/>
  <c r="N27" i="39" s="1"/>
  <c r="L24" i="39"/>
  <c r="K24" i="39"/>
  <c r="L23" i="39"/>
  <c r="K23" i="39"/>
  <c r="N23" i="39" s="1"/>
  <c r="L22" i="39"/>
  <c r="K22" i="39"/>
  <c r="R22" i="39" s="1"/>
  <c r="L21" i="39"/>
  <c r="K21" i="39"/>
  <c r="R21" i="39" s="1"/>
  <c r="L20" i="39"/>
  <c r="K20" i="39"/>
  <c r="R20" i="39" s="1"/>
  <c r="L19" i="39"/>
  <c r="K19" i="39"/>
  <c r="N19" i="39" s="1"/>
  <c r="L18" i="39"/>
  <c r="K18" i="39"/>
  <c r="R18" i="39" s="1"/>
  <c r="L17" i="39"/>
  <c r="K17" i="39"/>
  <c r="L16" i="39"/>
  <c r="K16" i="39"/>
  <c r="R16" i="39" s="1"/>
  <c r="L15" i="39"/>
  <c r="K15" i="39"/>
  <c r="R15" i="39" s="1"/>
  <c r="L12" i="39"/>
  <c r="O12" i="39" s="1"/>
  <c r="K12" i="39"/>
  <c r="R12" i="39" s="1"/>
  <c r="N12" i="39"/>
  <c r="L11" i="39"/>
  <c r="K11" i="39"/>
  <c r="N11" i="39" s="1"/>
  <c r="L10" i="39"/>
  <c r="K10" i="39"/>
  <c r="N10" i="39" s="1"/>
  <c r="O10" i="39" s="1"/>
  <c r="L9" i="39"/>
  <c r="K9" i="39"/>
  <c r="N9" i="39" s="1"/>
  <c r="O9" i="39" s="1"/>
  <c r="L8" i="39"/>
  <c r="K8" i="39"/>
  <c r="N8" i="39" s="1"/>
  <c r="L7" i="39"/>
  <c r="K7" i="39"/>
  <c r="L6" i="39"/>
  <c r="K6" i="39"/>
  <c r="N6" i="39" s="1"/>
  <c r="L5" i="39"/>
  <c r="K5" i="39"/>
  <c r="N5" i="39" s="1"/>
  <c r="L4" i="39"/>
  <c r="K4" i="39"/>
  <c r="N4" i="39" s="1"/>
  <c r="L3" i="39"/>
  <c r="K3" i="39"/>
  <c r="N3" i="39" s="1"/>
  <c r="S16" i="39"/>
  <c r="N18" i="39"/>
  <c r="O11" i="39"/>
  <c r="R8" i="39"/>
  <c r="R31" i="39"/>
  <c r="H34" i="6"/>
  <c r="E34" i="6"/>
  <c r="B34" i="6"/>
  <c r="D12" i="2"/>
  <c r="F12" i="2" s="1"/>
  <c r="K12" i="2" s="1"/>
  <c r="D4" i="2"/>
  <c r="F4" i="2" s="1"/>
  <c r="K4" i="2" s="1"/>
  <c r="D10" i="2"/>
  <c r="F10" i="2" s="1"/>
  <c r="K10" i="2" s="1"/>
  <c r="W28" i="36"/>
  <c r="W27" i="36"/>
  <c r="Z27" i="36" s="1"/>
  <c r="W26" i="36"/>
  <c r="Z26" i="36" s="1"/>
  <c r="W25" i="36"/>
  <c r="Z25" i="36" s="1"/>
  <c r="AA25" i="36" s="1"/>
  <c r="W24" i="36"/>
  <c r="Z24" i="36" s="1"/>
  <c r="AA24" i="36" s="1"/>
  <c r="W23" i="36"/>
  <c r="Z23" i="36" s="1"/>
  <c r="W22" i="36"/>
  <c r="Z22" i="36" s="1"/>
  <c r="W21" i="36"/>
  <c r="Z21" i="36" s="1"/>
  <c r="AA21" i="36" s="1"/>
  <c r="W20" i="36"/>
  <c r="Z20" i="36" s="1"/>
  <c r="AA20" i="36" s="1"/>
  <c r="X13" i="36"/>
  <c r="X12" i="36"/>
  <c r="X11" i="36"/>
  <c r="X10" i="36"/>
  <c r="X9" i="36"/>
  <c r="X8" i="36"/>
  <c r="X7" i="36"/>
  <c r="X6" i="36"/>
  <c r="X5" i="36"/>
  <c r="X4" i="36"/>
  <c r="Z6" i="36"/>
  <c r="Z28" i="36"/>
  <c r="AA28" i="36" s="1"/>
  <c r="Z9" i="36"/>
  <c r="C4" i="2"/>
  <c r="C12" i="2"/>
  <c r="C10" i="2"/>
  <c r="J27" i="39"/>
  <c r="J21" i="39"/>
  <c r="J13" i="39"/>
  <c r="J19" i="39"/>
  <c r="J4" i="39"/>
  <c r="J24" i="39"/>
  <c r="J15" i="39"/>
  <c r="J17" i="39"/>
  <c r="J31" i="39"/>
  <c r="J30" i="39"/>
  <c r="J8" i="39"/>
  <c r="J28" i="39"/>
  <c r="J12" i="39"/>
  <c r="J7" i="39"/>
  <c r="J18" i="39"/>
  <c r="J10" i="39"/>
  <c r="J22" i="39"/>
  <c r="J6" i="39"/>
  <c r="J36" i="39"/>
  <c r="J25" i="39"/>
  <c r="J11" i="39"/>
  <c r="J34" i="39"/>
  <c r="J38" i="39"/>
  <c r="J37" i="39"/>
  <c r="J33" i="39"/>
  <c r="J16" i="39"/>
  <c r="J5" i="39"/>
  <c r="J14" i="39"/>
  <c r="J26" i="39"/>
  <c r="J29" i="39"/>
  <c r="J9" i="39"/>
  <c r="J32" i="39"/>
  <c r="J20" i="39"/>
  <c r="J23" i="39"/>
  <c r="J35" i="39"/>
  <c r="Z11" i="36" l="1"/>
  <c r="AG24" i="36"/>
  <c r="R27" i="39"/>
  <c r="O18" i="39"/>
  <c r="O23" i="39"/>
  <c r="AA11" i="36"/>
  <c r="N29" i="39"/>
  <c r="R5" i="39"/>
  <c r="O6" i="39"/>
  <c r="S22" i="39"/>
  <c r="AM3" i="36"/>
  <c r="AA39" i="36"/>
  <c r="K32" i="46"/>
  <c r="E12" i="49"/>
  <c r="AA6" i="36"/>
  <c r="O29" i="39"/>
  <c r="O8" i="39"/>
  <c r="S12" i="39"/>
  <c r="N20" i="39"/>
  <c r="S29" i="39"/>
  <c r="AM5" i="36"/>
  <c r="AS6" i="36"/>
  <c r="AY7" i="36"/>
  <c r="BE8" i="36"/>
  <c r="AM21" i="36"/>
  <c r="BE23" i="36"/>
  <c r="AS29" i="36"/>
  <c r="K31" i="46"/>
  <c r="R23" i="39"/>
  <c r="S23" i="39" s="1"/>
  <c r="S5" i="39"/>
  <c r="O27" i="39"/>
  <c r="R35" i="39"/>
  <c r="N21" i="39"/>
  <c r="O21" i="39" s="1"/>
  <c r="O19" i="39"/>
  <c r="O20" i="39"/>
  <c r="S28" i="39"/>
  <c r="S31" i="39"/>
  <c r="S33" i="39"/>
  <c r="AM11" i="36"/>
  <c r="AM8" i="36"/>
  <c r="AS10" i="36"/>
  <c r="AY11" i="36"/>
  <c r="BE12" i="36"/>
  <c r="AY17" i="36"/>
  <c r="AY35" i="36"/>
  <c r="K33" i="46"/>
  <c r="AG41" i="47"/>
  <c r="N22" i="39"/>
  <c r="O22" i="39" s="1"/>
  <c r="N30" i="39"/>
  <c r="O4" i="39"/>
  <c r="R6" i="39"/>
  <c r="R9" i="39"/>
  <c r="S9" i="39" s="1"/>
  <c r="S21" i="39"/>
  <c r="N28" i="39"/>
  <c r="O28" i="39" s="1"/>
  <c r="AA34" i="36"/>
  <c r="AS11" i="36"/>
  <c r="AS7" i="36"/>
  <c r="AY12" i="36"/>
  <c r="AY8" i="36"/>
  <c r="AY4" i="36"/>
  <c r="BE9" i="36"/>
  <c r="BE5" i="36"/>
  <c r="AM17" i="36"/>
  <c r="AS23" i="36"/>
  <c r="BE19" i="36"/>
  <c r="AY31" i="36"/>
  <c r="F2" i="2"/>
  <c r="K2" i="2" s="1"/>
  <c r="E56" i="49"/>
  <c r="O5" i="39"/>
  <c r="AS12" i="36"/>
  <c r="AS8" i="36"/>
  <c r="AS4" i="36"/>
  <c r="AY9" i="36"/>
  <c r="AY5" i="36"/>
  <c r="BE10" i="36"/>
  <c r="BE6" i="36"/>
  <c r="AS19" i="36"/>
  <c r="AG38" i="36"/>
  <c r="AM35" i="36"/>
  <c r="AS37" i="36"/>
  <c r="BE33" i="36"/>
  <c r="R11" i="39"/>
  <c r="R4" i="39"/>
  <c r="S4" i="39" s="1"/>
  <c r="S15" i="39"/>
  <c r="S30" i="39"/>
  <c r="S32" i="39"/>
  <c r="O35" i="39"/>
  <c r="AG4" i="36"/>
  <c r="AS3" i="36"/>
  <c r="BE3" i="36"/>
  <c r="AS9" i="36"/>
  <c r="AS5" i="36"/>
  <c r="AY10" i="36"/>
  <c r="AY6" i="36"/>
  <c r="BE11" i="36"/>
  <c r="BE7" i="36"/>
  <c r="AM25" i="36"/>
  <c r="AY21" i="36"/>
  <c r="AG34" i="36"/>
  <c r="AM31" i="36"/>
  <c r="AS33" i="36"/>
  <c r="BE29" i="36"/>
  <c r="K37" i="46"/>
  <c r="K41" i="46"/>
  <c r="K36" i="46"/>
  <c r="K40" i="46"/>
  <c r="W41" i="47"/>
  <c r="AM4" i="36"/>
  <c r="BE4" i="36"/>
  <c r="AG42" i="36"/>
  <c r="R36" i="39"/>
  <c r="S36" i="39" s="1"/>
  <c r="BE37" i="36"/>
  <c r="AY25" i="36"/>
  <c r="AG28" i="36"/>
  <c r="AA40" i="36"/>
  <c r="AM16" i="36"/>
  <c r="AY20" i="36"/>
  <c r="BE22" i="36"/>
  <c r="AG33" i="36"/>
  <c r="AG37" i="36"/>
  <c r="AM30" i="36"/>
  <c r="AM34" i="36"/>
  <c r="AY30" i="36"/>
  <c r="BE28" i="36"/>
  <c r="BE36" i="36"/>
  <c r="AM19" i="36"/>
  <c r="AM23" i="36"/>
  <c r="AS17" i="36"/>
  <c r="AS21" i="36"/>
  <c r="AS25" i="36"/>
  <c r="AY19" i="36"/>
  <c r="AY23" i="36"/>
  <c r="BE17" i="36"/>
  <c r="BE21" i="36"/>
  <c r="BE25" i="36"/>
  <c r="AG36" i="36"/>
  <c r="AG40" i="36"/>
  <c r="AM29" i="36"/>
  <c r="AM33" i="36"/>
  <c r="AM37" i="36"/>
  <c r="AS31" i="36"/>
  <c r="AS35" i="36"/>
  <c r="AY29" i="36"/>
  <c r="AY33" i="36"/>
  <c r="AY37" i="36"/>
  <c r="BE31" i="36"/>
  <c r="BE35" i="36"/>
  <c r="AG20" i="36"/>
  <c r="AM20" i="36"/>
  <c r="AM24" i="36"/>
  <c r="AS18" i="36"/>
  <c r="AS22" i="36"/>
  <c r="AY16" i="36"/>
  <c r="AY24" i="36"/>
  <c r="BE18" i="36"/>
  <c r="AG41" i="36"/>
  <c r="AS28" i="36"/>
  <c r="AS32" i="36"/>
  <c r="AS36" i="36"/>
  <c r="AY34" i="36"/>
  <c r="BE32" i="36"/>
  <c r="AG26" i="36"/>
  <c r="AG23" i="36"/>
  <c r="AG21" i="36"/>
  <c r="AM18" i="36"/>
  <c r="AM22" i="36"/>
  <c r="AS16" i="36"/>
  <c r="AS20" i="36"/>
  <c r="AS24" i="36"/>
  <c r="AY18" i="36"/>
  <c r="AY22" i="36"/>
  <c r="BE16" i="36"/>
  <c r="BE20" i="36"/>
  <c r="BE24" i="36"/>
  <c r="AG35" i="36"/>
  <c r="AG39" i="36"/>
  <c r="AM28" i="36"/>
  <c r="AM32" i="36"/>
  <c r="AM36" i="36"/>
  <c r="AS30" i="36"/>
  <c r="AS34" i="36"/>
  <c r="AY28" i="36"/>
  <c r="AY32" i="36"/>
  <c r="AY36" i="36"/>
  <c r="BE30" i="36"/>
  <c r="BE34" i="36"/>
  <c r="AA36" i="36"/>
  <c r="AA41" i="36"/>
  <c r="AF12" i="36"/>
  <c r="AG12" i="36" s="1"/>
  <c r="Z12" i="36"/>
  <c r="AA12" i="36" s="1"/>
  <c r="AF5" i="36"/>
  <c r="AG5" i="36" s="1"/>
  <c r="Z5" i="36"/>
  <c r="AA5" i="36" s="1"/>
  <c r="AM10" i="36"/>
  <c r="AY3" i="36"/>
  <c r="AG27" i="36"/>
  <c r="AG25" i="36"/>
  <c r="AG22" i="36"/>
  <c r="AG19" i="36"/>
  <c r="AA35" i="36"/>
  <c r="AA26" i="36"/>
  <c r="AA37" i="36"/>
  <c r="AA38" i="36"/>
  <c r="AA42" i="36"/>
  <c r="AA27" i="36"/>
  <c r="AA19" i="36"/>
  <c r="AA8" i="36"/>
  <c r="R3" i="39"/>
  <c r="S3" i="39" s="1"/>
  <c r="N7" i="39"/>
  <c r="O7" i="39" s="1"/>
  <c r="R7" i="39"/>
  <c r="S7" i="39" s="1"/>
  <c r="R10" i="39"/>
  <c r="S10" i="39" s="1"/>
  <c r="S11" i="39"/>
  <c r="N15" i="39"/>
  <c r="O15" i="39" s="1"/>
  <c r="N24" i="39"/>
  <c r="O24" i="39" s="1"/>
  <c r="R24" i="39"/>
  <c r="S24" i="39" s="1"/>
  <c r="N32" i="39"/>
  <c r="O32" i="39" s="1"/>
  <c r="AF8" i="36"/>
  <c r="AG8" i="36" s="1"/>
  <c r="AF10" i="36"/>
  <c r="AG10" i="36" s="1"/>
  <c r="Z10" i="36"/>
  <c r="AA10" i="36" s="1"/>
  <c r="AF7" i="36"/>
  <c r="AG7" i="36" s="1"/>
  <c r="Z7" i="36"/>
  <c r="AA7" i="36" s="1"/>
  <c r="AA23" i="36"/>
  <c r="K39" i="46"/>
  <c r="AK9" i="47"/>
  <c r="AJ35" i="47"/>
  <c r="AA22" i="36"/>
  <c r="AA33" i="36"/>
  <c r="AF13" i="36"/>
  <c r="AG13" i="36" s="1"/>
  <c r="Z13" i="36"/>
  <c r="AA13" i="36" s="1"/>
  <c r="K38" i="46"/>
  <c r="K42" i="46"/>
  <c r="AA9" i="36"/>
  <c r="S8" i="39"/>
  <c r="R19" i="39"/>
  <c r="S19" i="39" s="1"/>
  <c r="N33" i="39"/>
  <c r="O33" i="39" s="1"/>
  <c r="O3" i="39"/>
  <c r="R17" i="39"/>
  <c r="S17" i="39" s="1"/>
  <c r="N17" i="39"/>
  <c r="O17" i="39" s="1"/>
  <c r="S18" i="39"/>
  <c r="R34" i="39"/>
  <c r="S34" i="39" s="1"/>
  <c r="N34" i="39"/>
  <c r="O34" i="39" s="1"/>
  <c r="Z4" i="36"/>
  <c r="AA4" i="36" s="1"/>
  <c r="S35" i="39"/>
  <c r="S27" i="39"/>
  <c r="S20" i="39"/>
  <c r="O30" i="39"/>
  <c r="S6" i="39"/>
  <c r="N16" i="39"/>
  <c r="O16" i="39" s="1"/>
  <c r="AG11" i="36"/>
  <c r="AG9" i="36"/>
  <c r="AG6" i="36"/>
  <c r="AM12" i="36"/>
  <c r="AM9" i="36"/>
  <c r="AM7" i="36"/>
  <c r="K43" i="46"/>
  <c r="Q43" i="46" s="1"/>
  <c r="C39" i="47"/>
  <c r="C41" i="4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Ma. Angelica Fletes Avélica</author>
  </authors>
  <commentList>
    <comment ref="F23" authorId="0" shapeId="0" xr:uid="{05EE133F-B658-4C9F-8EB3-703A12C6E1A4}">
      <text>
        <r>
          <rPr>
            <b/>
            <sz val="9"/>
            <color rgb="FF000000"/>
            <rFont val="Tahoma"/>
            <family val="2"/>
          </rPr>
          <t>Ma. Angelica Fletes Avélica: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ART. 43 GLICERIA</t>
        </r>
      </text>
    </comment>
    <comment ref="H23" authorId="0" shapeId="0" xr:uid="{F14EC505-5F9E-46FC-818D-92E32578B940}">
      <text>
        <r>
          <rPr>
            <b/>
            <sz val="9"/>
            <color indexed="81"/>
            <rFont val="Tahoma"/>
            <family val="2"/>
          </rPr>
          <t>Ma. Angelica Fletes Avélica:</t>
        </r>
        <r>
          <rPr>
            <sz val="9"/>
            <color indexed="81"/>
            <rFont val="Tahoma"/>
            <family val="2"/>
          </rPr>
          <t xml:space="preserve">
ART. 43 GLICERIA</t>
        </r>
      </text>
    </comment>
    <comment ref="F25" authorId="0" shapeId="0" xr:uid="{B1B9E72A-9CBE-7E48-8CAF-9D8806C88E9D}">
      <text>
        <r>
          <rPr>
            <b/>
            <sz val="9"/>
            <color rgb="FF000000"/>
            <rFont val="Tahoma"/>
            <family val="2"/>
          </rPr>
          <t>Ma. Angelica Fletes Avélica: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ART. 43 GLICERIA</t>
        </r>
      </text>
    </comment>
    <comment ref="H25" authorId="0" shapeId="0" xr:uid="{13C75B2A-AEE3-7540-BA14-C8468C66ED17}">
      <text>
        <r>
          <rPr>
            <b/>
            <sz val="9"/>
            <color indexed="81"/>
            <rFont val="Tahoma"/>
            <family val="2"/>
          </rPr>
          <t>Ma. Angelica Fletes Avélica:</t>
        </r>
        <r>
          <rPr>
            <sz val="9"/>
            <color indexed="81"/>
            <rFont val="Tahoma"/>
            <family val="2"/>
          </rPr>
          <t xml:space="preserve">
Art. 43 Gliceria</t>
        </r>
      </text>
    </comment>
    <comment ref="F26" authorId="0" shapeId="0" xr:uid="{3D8EB570-9D99-4E68-AC67-813238FF9F1C}">
      <text>
        <r>
          <rPr>
            <b/>
            <sz val="9"/>
            <color rgb="FF000000"/>
            <rFont val="Tahoma"/>
            <family val="2"/>
          </rPr>
          <t>Ma. Angelica Fletes Avélica: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ART. 43 GLICERIA</t>
        </r>
      </text>
    </comment>
    <comment ref="H26" authorId="0" shapeId="0" xr:uid="{F420F88A-B9EA-4004-8D45-4AE289EE5DF5}">
      <text>
        <r>
          <rPr>
            <b/>
            <sz val="9"/>
            <color indexed="81"/>
            <rFont val="Tahoma"/>
            <family val="2"/>
          </rPr>
          <t>Ma. Angelica Fletes Avélica:</t>
        </r>
        <r>
          <rPr>
            <sz val="9"/>
            <color indexed="81"/>
            <rFont val="Tahoma"/>
            <family val="2"/>
          </rPr>
          <t xml:space="preserve">
Art. 43 Gliceria</t>
        </r>
      </text>
    </comment>
    <comment ref="H34" authorId="0" shapeId="0" xr:uid="{5DF4F81A-3018-4610-A019-FC771DF60E0B}">
      <text>
        <r>
          <rPr>
            <b/>
            <sz val="9"/>
            <color indexed="81"/>
            <rFont val="Tahoma"/>
            <family val="2"/>
          </rPr>
          <t>Ma. Angelica Fletes Avélica:</t>
        </r>
        <r>
          <rPr>
            <sz val="9"/>
            <color indexed="81"/>
            <rFont val="Tahoma"/>
            <family val="2"/>
          </rPr>
          <t xml:space="preserve">
ART. 43 GLICERIA</t>
        </r>
      </text>
    </comment>
  </commentList>
</comments>
</file>

<file path=xl/sharedStrings.xml><?xml version="1.0" encoding="utf-8"?>
<sst xmlns="http://schemas.openxmlformats.org/spreadsheetml/2006/main" count="1910" uniqueCount="534">
  <si>
    <t>I</t>
  </si>
  <si>
    <t>II</t>
  </si>
  <si>
    <t>III</t>
  </si>
  <si>
    <t>IV</t>
  </si>
  <si>
    <t>V</t>
  </si>
  <si>
    <t>VI</t>
  </si>
  <si>
    <t>VII</t>
  </si>
  <si>
    <t>1° A</t>
  </si>
  <si>
    <t>1° B</t>
  </si>
  <si>
    <t>2° A</t>
  </si>
  <si>
    <t>2° B</t>
  </si>
  <si>
    <t>3° A</t>
  </si>
  <si>
    <t>Nombre</t>
  </si>
  <si>
    <t>Carga horaria</t>
  </si>
  <si>
    <t>Primer grado</t>
  </si>
  <si>
    <t>Asignatura</t>
  </si>
  <si>
    <t>Número de horas</t>
  </si>
  <si>
    <t xml:space="preserve">Total: 35 </t>
  </si>
  <si>
    <t>Total</t>
  </si>
  <si>
    <t>Español I</t>
  </si>
  <si>
    <t>Matemáticas I</t>
  </si>
  <si>
    <t>Lengua Extranjera I</t>
  </si>
  <si>
    <t>Educación Física I</t>
  </si>
  <si>
    <t>Tecnología I</t>
  </si>
  <si>
    <t>Asignatura Estatal</t>
  </si>
  <si>
    <t>Segundo Grado</t>
  </si>
  <si>
    <t>Español II</t>
  </si>
  <si>
    <t>Matemáticas II</t>
  </si>
  <si>
    <t>Historia I</t>
  </si>
  <si>
    <t>Formación Cívica y Ética I</t>
  </si>
  <si>
    <t>Lengua Extranjera II</t>
  </si>
  <si>
    <t>Educación Física II</t>
  </si>
  <si>
    <t>Tecnología II</t>
  </si>
  <si>
    <t>Artes (Música, Danza, Teatro ó Artes Visuales)</t>
  </si>
  <si>
    <t>Tercer Grado</t>
  </si>
  <si>
    <t>Español III</t>
  </si>
  <si>
    <t>Matemáticas III</t>
  </si>
  <si>
    <t>Historia II</t>
  </si>
  <si>
    <t>Formación Cívica y Ética II</t>
  </si>
  <si>
    <t>Lengua Extranjera III</t>
  </si>
  <si>
    <t>Educación Física III</t>
  </si>
  <si>
    <t>Tecnología III</t>
  </si>
  <si>
    <t>Apellidos</t>
  </si>
  <si>
    <t>Ciencias I</t>
  </si>
  <si>
    <t>Geografía</t>
  </si>
  <si>
    <t>Primero A</t>
  </si>
  <si>
    <t>Primero B</t>
  </si>
  <si>
    <t>Segundo A</t>
  </si>
  <si>
    <t>Tercero A</t>
  </si>
  <si>
    <t>Artes I</t>
  </si>
  <si>
    <t>Artes II</t>
  </si>
  <si>
    <t>Artes III</t>
  </si>
  <si>
    <t>Lunes</t>
  </si>
  <si>
    <t>Martes</t>
  </si>
  <si>
    <t>Miércoles</t>
  </si>
  <si>
    <t>Jueves</t>
  </si>
  <si>
    <t>Viernes</t>
  </si>
  <si>
    <t>Tutoría</t>
  </si>
  <si>
    <t>Ciencias II</t>
  </si>
  <si>
    <t>Ciencias III</t>
  </si>
  <si>
    <t>Maestro</t>
  </si>
  <si>
    <t>3° B</t>
  </si>
  <si>
    <t>Colisión</t>
  </si>
  <si>
    <t>Segundo B</t>
  </si>
  <si>
    <t>Tercero B</t>
  </si>
  <si>
    <t>Clave</t>
  </si>
  <si>
    <t>Faltantes</t>
  </si>
  <si>
    <t>Esp 1</t>
  </si>
  <si>
    <t>Mat 1</t>
  </si>
  <si>
    <t>Cie 1</t>
  </si>
  <si>
    <t>Geo 1</t>
  </si>
  <si>
    <t>LE 1</t>
  </si>
  <si>
    <t>EF 1</t>
  </si>
  <si>
    <t>Tec 1</t>
  </si>
  <si>
    <t>Art 1</t>
  </si>
  <si>
    <t>AE 1</t>
  </si>
  <si>
    <t>Tut 1</t>
  </si>
  <si>
    <t>Esp 2</t>
  </si>
  <si>
    <t>Mat 2</t>
  </si>
  <si>
    <t>Cie 2</t>
  </si>
  <si>
    <t>His 2</t>
  </si>
  <si>
    <t>FCE 2</t>
  </si>
  <si>
    <t>LE 2</t>
  </si>
  <si>
    <t>EF 2</t>
  </si>
  <si>
    <t>Tec 2</t>
  </si>
  <si>
    <t>Art 2</t>
  </si>
  <si>
    <t>Tut 2</t>
  </si>
  <si>
    <t>Esp 3</t>
  </si>
  <si>
    <t>Mat 3</t>
  </si>
  <si>
    <t>Cie 3</t>
  </si>
  <si>
    <t>His 3</t>
  </si>
  <si>
    <t>FCE 3</t>
  </si>
  <si>
    <t>LE 3</t>
  </si>
  <si>
    <t>EF 3</t>
  </si>
  <si>
    <t>Tec 3</t>
  </si>
  <si>
    <t>Art 3</t>
  </si>
  <si>
    <t>Tut 3</t>
  </si>
  <si>
    <t>Maestro:</t>
  </si>
  <si>
    <t>Miriam</t>
  </si>
  <si>
    <t>Jesús</t>
  </si>
  <si>
    <t>Edith</t>
  </si>
  <si>
    <t>Antonio</t>
  </si>
  <si>
    <t>José Nieves</t>
  </si>
  <si>
    <t>Sonia</t>
  </si>
  <si>
    <t>Gerardo</t>
  </si>
  <si>
    <t>Vicente</t>
  </si>
  <si>
    <t>Emmanuel</t>
  </si>
  <si>
    <t xml:space="preserve">Moises </t>
  </si>
  <si>
    <t>Juan Francisco</t>
  </si>
  <si>
    <t>María</t>
  </si>
  <si>
    <t>Jassiel</t>
  </si>
  <si>
    <t>Módulo</t>
  </si>
  <si>
    <t>Art 1 - Miriam</t>
  </si>
  <si>
    <t>Art 2 - Miriam</t>
  </si>
  <si>
    <t>Art 3 - Miriam</t>
  </si>
  <si>
    <t>1° G</t>
  </si>
  <si>
    <t>1° H</t>
  </si>
  <si>
    <t>2° G</t>
  </si>
  <si>
    <t>3° G</t>
  </si>
  <si>
    <t>2° H</t>
  </si>
  <si>
    <t>3° H</t>
  </si>
  <si>
    <t>Primero G</t>
  </si>
  <si>
    <t>Primero H</t>
  </si>
  <si>
    <t>Segundo G</t>
  </si>
  <si>
    <t>Segundo H</t>
  </si>
  <si>
    <t>Tercero G</t>
  </si>
  <si>
    <t>Tercero H</t>
  </si>
  <si>
    <t>José Adán</t>
  </si>
  <si>
    <t>Juan Pablo</t>
  </si>
  <si>
    <t>Enrique</t>
  </si>
  <si>
    <t>Marlene</t>
  </si>
  <si>
    <t>Horas con déficit</t>
  </si>
  <si>
    <t>Grados</t>
  </si>
  <si>
    <t>Grupos</t>
  </si>
  <si>
    <t>A</t>
  </si>
  <si>
    <t>B</t>
  </si>
  <si>
    <t>G</t>
  </si>
  <si>
    <t>H</t>
  </si>
  <si>
    <t>Asignaturas</t>
  </si>
  <si>
    <t>Esp</t>
  </si>
  <si>
    <t>Mat</t>
  </si>
  <si>
    <t>Cie</t>
  </si>
  <si>
    <t>Geo</t>
  </si>
  <si>
    <t>LE</t>
  </si>
  <si>
    <t>EF</t>
  </si>
  <si>
    <t>Tec</t>
  </si>
  <si>
    <t>Art</t>
  </si>
  <si>
    <t>AE</t>
  </si>
  <si>
    <t>Tut</t>
  </si>
  <si>
    <t>His</t>
  </si>
  <si>
    <t>FCE</t>
  </si>
  <si>
    <t>Mat 1 - Edith</t>
  </si>
  <si>
    <t xml:space="preserve">Mat 3 - Moises </t>
  </si>
  <si>
    <t>Esp 3 - Emmanuel</t>
  </si>
  <si>
    <t>Tec 1 - Antonio</t>
  </si>
  <si>
    <t>Tec 3 - Antonio</t>
  </si>
  <si>
    <t>Tec 2 - Antonio</t>
  </si>
  <si>
    <t>Tec 2 - José Nieves</t>
  </si>
  <si>
    <t>Tec 3 - José Nieves</t>
  </si>
  <si>
    <t>LE 1 - José Nieves</t>
  </si>
  <si>
    <t>LE 2 - José Nieves</t>
  </si>
  <si>
    <t>AE 1 - Sonia</t>
  </si>
  <si>
    <t>His 2 - Gerardo</t>
  </si>
  <si>
    <t>His 3 - Vicente</t>
  </si>
  <si>
    <t>LE 3 - Vicente</t>
  </si>
  <si>
    <t>His 3 - María</t>
  </si>
  <si>
    <t>Esp 1 - Sonia</t>
  </si>
  <si>
    <t>Mat 2 - José Adán</t>
  </si>
  <si>
    <t>Tut 2 - Sonia</t>
  </si>
  <si>
    <t>Esp 2 - Emmanuel</t>
  </si>
  <si>
    <t>Mat 1 - Jesús</t>
  </si>
  <si>
    <t>Mat 3 - Jesús</t>
  </si>
  <si>
    <t>Cie 1 - Juan Francisco</t>
  </si>
  <si>
    <t>Cie 3 - José Nieves</t>
  </si>
  <si>
    <t>Cie 3 - Jassiel</t>
  </si>
  <si>
    <t>Geo 1 - Gerardo</t>
  </si>
  <si>
    <t>Geo 1 - Sonia</t>
  </si>
  <si>
    <t>LE 3 - José Nieves</t>
  </si>
  <si>
    <t>FCE 3 - Marlene</t>
  </si>
  <si>
    <t>FCE 3 - Enrique</t>
  </si>
  <si>
    <t>FCE 2 - Enrique</t>
  </si>
  <si>
    <t>Tec 1 - José Adán</t>
  </si>
  <si>
    <t>EF 3 - Juan Pablo</t>
  </si>
  <si>
    <t>AE 1 - María</t>
  </si>
  <si>
    <t>FCE 2 - María</t>
  </si>
  <si>
    <t>Art 1 - Sonia</t>
  </si>
  <si>
    <t>Art 3 - Sonia</t>
  </si>
  <si>
    <t>Tut 3 - Juan Francisco</t>
  </si>
  <si>
    <t>EF 2 - Juan Pablo</t>
  </si>
  <si>
    <t>12:30 - 13:20</t>
  </si>
  <si>
    <t>11:40 - 12:30</t>
  </si>
  <si>
    <t>R                    E                    C                    E                    S                    O</t>
  </si>
  <si>
    <t>11:30 - 11:40</t>
  </si>
  <si>
    <t>10:40 - 11:30</t>
  </si>
  <si>
    <t>9:50 - 10:40</t>
  </si>
  <si>
    <t>9:00 - 9:50</t>
  </si>
  <si>
    <t>D                    E                    S                    A                    Y                    U                    N                    O</t>
  </si>
  <si>
    <t>8:40 - 9:00</t>
  </si>
  <si>
    <t>7:50 - 8:40</t>
  </si>
  <si>
    <t>7:00 - 7:50</t>
  </si>
  <si>
    <t>VIERNES</t>
  </si>
  <si>
    <t>JUEVES</t>
  </si>
  <si>
    <t>MIÉRCOLES</t>
  </si>
  <si>
    <t>MARTES</t>
  </si>
  <si>
    <t>LUNES</t>
  </si>
  <si>
    <t>HORA</t>
  </si>
  <si>
    <t>PRIMERO A</t>
  </si>
  <si>
    <t>CICLO ESCOLAR 2014 - 2015</t>
  </si>
  <si>
    <t>PRIMERO B</t>
  </si>
  <si>
    <t>SEGUNDO A</t>
  </si>
  <si>
    <t>SEGUNDO B</t>
  </si>
  <si>
    <t>Tut 3 - Marlene</t>
  </si>
  <si>
    <t>Tut 2 - Enrique</t>
  </si>
  <si>
    <t>Tut 1 - José Adán</t>
  </si>
  <si>
    <t xml:space="preserve"> Jesús Alberto</t>
  </si>
  <si>
    <t>EF 2 -  Jesús Alberto</t>
  </si>
  <si>
    <t>EF 3 -  Jesús Alberto</t>
  </si>
  <si>
    <t>EF 1 -  Jesús Alberto</t>
  </si>
  <si>
    <t>Horario</t>
  </si>
  <si>
    <t>1:30 - 2:15</t>
  </si>
  <si>
    <t>2:15 - 3:00</t>
  </si>
  <si>
    <t>3:10 - 3:55</t>
  </si>
  <si>
    <t>3:55 - 4:40</t>
  </si>
  <si>
    <t>4:40 - 5:25</t>
  </si>
  <si>
    <t>5:35 - 6:20</t>
  </si>
  <si>
    <t>6:20 - 7:05</t>
  </si>
  <si>
    <t>f                    E                    S                    A                    Y                    U                    N                    O</t>
  </si>
  <si>
    <t>D                    g                    S                    A                    Y                    U                    N                    O</t>
  </si>
  <si>
    <t>R                    g                    C                    g                    S                    O</t>
  </si>
  <si>
    <t>h                    E                    S                    A                    Y                    U                    N                    O</t>
  </si>
  <si>
    <t>D                    i                    S                    A                    Y                    U                    N                    O</t>
  </si>
  <si>
    <t>R                    i                    C                    i                    S                    O</t>
  </si>
  <si>
    <t>Cie 1 - Antonio</t>
  </si>
  <si>
    <t>Cie 2 - José Adán</t>
  </si>
  <si>
    <t xml:space="preserve">Mat 2 - Moises </t>
  </si>
  <si>
    <t>Cie 2 - Jassiel</t>
  </si>
  <si>
    <t xml:space="preserve">Tut 1 - Moises </t>
  </si>
  <si>
    <t>Esp 1 - Emmanuel</t>
  </si>
  <si>
    <t>Esp 2 - Sonia</t>
  </si>
  <si>
    <t>TERCERO A</t>
  </si>
  <si>
    <t>TERCERO B</t>
  </si>
  <si>
    <t>Segundo C</t>
  </si>
  <si>
    <t>2° C</t>
  </si>
  <si>
    <t>SEGUNDO C</t>
  </si>
  <si>
    <t>13:20 - 14:10</t>
  </si>
  <si>
    <t>Nombre completo</t>
  </si>
  <si>
    <t>MESA DEL NAYAR, EL NAYAR, NAYARIT</t>
  </si>
  <si>
    <t>HORARIO DE CLASES</t>
  </si>
  <si>
    <t>ESCUELA SECUNDARIA TÉCNICA No. 60</t>
  </si>
  <si>
    <t>"BENITO JUÁREZ"     CLAVE:18DST0060W</t>
  </si>
  <si>
    <t>Horas faltantes:</t>
  </si>
  <si>
    <t>No.</t>
  </si>
  <si>
    <t>Primero C</t>
  </si>
  <si>
    <t>1° C</t>
  </si>
  <si>
    <t>1° D</t>
  </si>
  <si>
    <t>1° E</t>
  </si>
  <si>
    <t>1° F</t>
  </si>
  <si>
    <t>2° D</t>
  </si>
  <si>
    <t>2° E</t>
  </si>
  <si>
    <t>2° F</t>
  </si>
  <si>
    <t>3° C</t>
  </si>
  <si>
    <t>3° D</t>
  </si>
  <si>
    <t>3° E</t>
  </si>
  <si>
    <t>3° F</t>
  </si>
  <si>
    <t>Primero D</t>
  </si>
  <si>
    <t>Primero E</t>
  </si>
  <si>
    <t>Primero F</t>
  </si>
  <si>
    <t>Segundo D</t>
  </si>
  <si>
    <t>Segundo E</t>
  </si>
  <si>
    <t>Segundo F</t>
  </si>
  <si>
    <t>Tercero C</t>
  </si>
  <si>
    <t>Tercero D</t>
  </si>
  <si>
    <t>Tercero E</t>
  </si>
  <si>
    <t>Tercero F</t>
  </si>
  <si>
    <t>PRIMERO C</t>
  </si>
  <si>
    <t>PRIMERO D</t>
  </si>
  <si>
    <t>PRIMERO E</t>
  </si>
  <si>
    <t>PRIMERO F</t>
  </si>
  <si>
    <t>SEGUNDO D</t>
  </si>
  <si>
    <t>SEGUNDO E</t>
  </si>
  <si>
    <t>SEGUNDO F</t>
  </si>
  <si>
    <t>TERCERO C</t>
  </si>
  <si>
    <t>TERCERO D</t>
  </si>
  <si>
    <t>TERCERO E</t>
  </si>
  <si>
    <t>TERCERO F</t>
  </si>
  <si>
    <t>Inglés I</t>
  </si>
  <si>
    <t>Inglés III</t>
  </si>
  <si>
    <t>Inglés II</t>
  </si>
  <si>
    <t>Educ. Física I</t>
  </si>
  <si>
    <t>Educ. Física II</t>
  </si>
  <si>
    <t>Educ. Física III</t>
  </si>
  <si>
    <t>Adriana</t>
  </si>
  <si>
    <t>F.C.E. I</t>
  </si>
  <si>
    <t>7:00 - 7:54</t>
  </si>
  <si>
    <t>7:54 - 8:48</t>
  </si>
  <si>
    <t>9:18 - 10:12</t>
  </si>
  <si>
    <t>10:12- 11:06</t>
  </si>
  <si>
    <t>11:06 - 12:00</t>
  </si>
  <si>
    <t>12:12 - 13:06</t>
  </si>
  <si>
    <t>13:06 - 14:00</t>
  </si>
  <si>
    <t>Historia III</t>
  </si>
  <si>
    <t>FCE III</t>
  </si>
  <si>
    <t>J. Ángel</t>
  </si>
  <si>
    <t>M. Ángeles</t>
  </si>
  <si>
    <t>Ana Karem</t>
  </si>
  <si>
    <t>Manuel R.</t>
  </si>
  <si>
    <t>Martha A.</t>
  </si>
  <si>
    <t>Victoria N.</t>
  </si>
  <si>
    <t>Hector J.</t>
  </si>
  <si>
    <t>Yessica X.</t>
  </si>
  <si>
    <t>Mauricio</t>
  </si>
  <si>
    <t>Mayra G.</t>
  </si>
  <si>
    <t>Blanca D.</t>
  </si>
  <si>
    <t>Agustín</t>
  </si>
  <si>
    <t>Horas de interinato</t>
  </si>
  <si>
    <t>Horas en propiedad</t>
  </si>
  <si>
    <t>Horas comisionadas</t>
  </si>
  <si>
    <t>Horas prestadas</t>
  </si>
  <si>
    <t>Horas disponibles</t>
  </si>
  <si>
    <t>Horas por grupo</t>
  </si>
  <si>
    <t>Horas cubiertas</t>
  </si>
  <si>
    <t>Horas faltantes</t>
  </si>
  <si>
    <t>NOMBRE</t>
  </si>
  <si>
    <t>HORAS BASE</t>
  </si>
  <si>
    <t>HORAS DISPONIBLES</t>
  </si>
  <si>
    <t>PRIMER GRADO</t>
  </si>
  <si>
    <t>SEGUNDO GRADO</t>
  </si>
  <si>
    <t>TERCER GRADO</t>
  </si>
  <si>
    <t>C</t>
  </si>
  <si>
    <t>D</t>
  </si>
  <si>
    <t>ESP</t>
  </si>
  <si>
    <t>MAT</t>
  </si>
  <si>
    <t>CTB</t>
  </si>
  <si>
    <t>HIS</t>
  </si>
  <si>
    <t>GEO</t>
  </si>
  <si>
    <t>ING</t>
  </si>
  <si>
    <t>ART</t>
  </si>
  <si>
    <t>TUT</t>
  </si>
  <si>
    <t>CTF</t>
  </si>
  <si>
    <t>CTQ</t>
  </si>
  <si>
    <t>AGUIAR LAMAS JOSE ANGEL</t>
  </si>
  <si>
    <t>SOLIS VALLEJAN MARIA DE LOS ANGELES</t>
  </si>
  <si>
    <t>REYNA SANABIA GEMA GUADALUPE</t>
  </si>
  <si>
    <t>OROZCO ALEGRE ANA KAREM</t>
  </si>
  <si>
    <t>TORRES LEE MANUEL RAFAEL</t>
  </si>
  <si>
    <t>ARELLANO MORENO MARTHA ALICIA</t>
  </si>
  <si>
    <t>GRAGEOLA RAMÍREZ CORPUS FAUSTINO</t>
  </si>
  <si>
    <t>PRECIADO PEREZ VICTORIA NAYELI</t>
  </si>
  <si>
    <t>GUERRERO VIERA DELIA YAZMIN</t>
  </si>
  <si>
    <t>ARCINIEGA SANDOVAL ADRIANA</t>
  </si>
  <si>
    <t>ESCOBEDO PARRA LUIS CARLOS</t>
  </si>
  <si>
    <t>MACIAS FRANCO HECTOR JAVIER</t>
  </si>
  <si>
    <t>HERNANDEZ ALCAUTER YESSICA XITLALIC</t>
  </si>
  <si>
    <t>LÓPEZ CASTELLÓN MAURICIO</t>
  </si>
  <si>
    <t>GUERRERO LOPEZ MAYRA GABRIELA</t>
  </si>
  <si>
    <t>RAMIREZ MELCHOR CESAR MIGUEL</t>
  </si>
  <si>
    <t>PACHECO RIOS BRISEIDA</t>
  </si>
  <si>
    <t>ARANA RAMIREZ BLANCA DELIA</t>
  </si>
  <si>
    <t>GARCIA OLVERA EDGAR SINUE</t>
  </si>
  <si>
    <t>ORTEGA OCEGUEDA JOEL</t>
  </si>
  <si>
    <t>GÓMEZ ACEVES AGUSTÍN</t>
  </si>
  <si>
    <t>Lengua materna</t>
  </si>
  <si>
    <t>Matemáticas</t>
  </si>
  <si>
    <t>Ciencia y tecnología - Biología</t>
  </si>
  <si>
    <t>Ciencia y tecnología - Física</t>
  </si>
  <si>
    <t>Ciencia y tecnología - Química</t>
  </si>
  <si>
    <t>Historia</t>
  </si>
  <si>
    <t>Formación cívica y ética</t>
  </si>
  <si>
    <t>Inglés</t>
  </si>
  <si>
    <t>Educación física</t>
  </si>
  <si>
    <t>Artes</t>
  </si>
  <si>
    <t>Clubes requeridos:</t>
  </si>
  <si>
    <t>Horas para clubes</t>
  </si>
  <si>
    <t>Clubes: disponibles:</t>
  </si>
  <si>
    <t>GONZÁLEZ GARCÍA CELSO ARMANDO</t>
  </si>
  <si>
    <t>MOISES</t>
  </si>
  <si>
    <t>HORAS ASIGNADAS</t>
  </si>
  <si>
    <t>J. Benjamín</t>
  </si>
  <si>
    <t>Escuela Secundaria Técnica #64 "Adolfo López Mateos"</t>
  </si>
  <si>
    <t>Clave: 18DST0064S     Mezcales, Mpio. De Bahía de Banderas, Nayarit</t>
  </si>
  <si>
    <t>Estructura</t>
  </si>
  <si>
    <t>Tecnologías</t>
  </si>
  <si>
    <t>Primer  grado</t>
  </si>
  <si>
    <t>Segundo  grado</t>
  </si>
  <si>
    <t>Tercer grado</t>
  </si>
  <si>
    <t>Segundo grado</t>
  </si>
  <si>
    <t>Español</t>
  </si>
  <si>
    <t>Ciencias (Biología)</t>
  </si>
  <si>
    <t>Educ. Física</t>
  </si>
  <si>
    <t>Tecnología</t>
  </si>
  <si>
    <t>Ciencias (Física)</t>
  </si>
  <si>
    <t>Comisionadas</t>
  </si>
  <si>
    <t>Por asignar</t>
  </si>
  <si>
    <t>Faltante</t>
  </si>
  <si>
    <t>Total de horas existentes</t>
  </si>
  <si>
    <t>Faltante:</t>
  </si>
  <si>
    <t>Horas necesarias</t>
  </si>
  <si>
    <t>Horas solicitadas al departamento:</t>
  </si>
  <si>
    <t>Horas existentes</t>
  </si>
  <si>
    <t>Horas sobrantes:</t>
  </si>
  <si>
    <t>Primer Grado</t>
  </si>
  <si>
    <t>HORARIO</t>
  </si>
  <si>
    <t>Lengua Materna</t>
  </si>
  <si>
    <t>8:48 - 9:18</t>
  </si>
  <si>
    <t>Receso</t>
  </si>
  <si>
    <t>Ciencias y Tecnología.
Biología</t>
  </si>
  <si>
    <t>Formación Cívica y Ética</t>
  </si>
  <si>
    <t>12:00 - 12:12</t>
  </si>
  <si>
    <t>Educación Física</t>
  </si>
  <si>
    <t>Autonomía Curricular</t>
  </si>
  <si>
    <t>Tutoría y Educación
Socioemocional</t>
  </si>
  <si>
    <t>7:00 - 7:53</t>
  </si>
  <si>
    <t>7:53 - 8:46</t>
  </si>
  <si>
    <t>8:46 - 9:16</t>
  </si>
  <si>
    <t>9:16 - 10:09</t>
  </si>
  <si>
    <t>Ciencias y Tecnología.
Física</t>
  </si>
  <si>
    <t>10:09 - 11:02</t>
  </si>
  <si>
    <t>11:02 - 11:55</t>
  </si>
  <si>
    <t>11:55 - 12:10</t>
  </si>
  <si>
    <t>12:10 - 13:03</t>
  </si>
  <si>
    <t>13:03 - 13:56</t>
  </si>
  <si>
    <t>Ciencias y Tecnología.
Química</t>
  </si>
  <si>
    <t>Espacio Curricular</t>
  </si>
  <si>
    <t>Fijos</t>
  </si>
  <si>
    <t>Jornada Regular</t>
  </si>
  <si>
    <t>%</t>
  </si>
  <si>
    <t>Tiempo completo</t>
  </si>
  <si>
    <t>Periodos semanales</t>
  </si>
  <si>
    <t>Periodos anuales</t>
  </si>
  <si>
    <t>Formación Académica</t>
  </si>
  <si>
    <t>Ciencia y Tecnología. Biología</t>
  </si>
  <si>
    <t>Desarrollo Personal y Social</t>
  </si>
  <si>
    <t>Tutoría y Educación Socioemocional</t>
  </si>
  <si>
    <t>Ampliar la formación académica</t>
  </si>
  <si>
    <t>Variable</t>
  </si>
  <si>
    <t>Potenciar el desarrollo personal y social</t>
  </si>
  <si>
    <t>Nuevos contenidos relevantes</t>
  </si>
  <si>
    <t>Conocimientos regionales</t>
  </si>
  <si>
    <t>Proyectos de impacto social</t>
  </si>
  <si>
    <t>9:10 - 10:00</t>
  </si>
  <si>
    <t>10:00- 10:50</t>
  </si>
  <si>
    <t>10:50 - 11:40</t>
  </si>
  <si>
    <t>GUSTAVO</t>
  </si>
  <si>
    <t>MELISSA</t>
  </si>
  <si>
    <t>LORENA</t>
  </si>
  <si>
    <t>XITLALI</t>
  </si>
  <si>
    <t>MANUEL</t>
  </si>
  <si>
    <t>RAUL</t>
  </si>
  <si>
    <t>JOSE</t>
  </si>
  <si>
    <t>PATRICIA</t>
  </si>
  <si>
    <t>ABRAHAM</t>
  </si>
  <si>
    <t>MACEDONIO</t>
  </si>
  <si>
    <t>CARLOS</t>
  </si>
  <si>
    <t>SANDRA</t>
  </si>
  <si>
    <t>, GUSTAVO</t>
  </si>
  <si>
    <t>, MELISSA</t>
  </si>
  <si>
    <t>, XITLALI</t>
  </si>
  <si>
    <t>, MANUEL</t>
  </si>
  <si>
    <t>, RAUL</t>
  </si>
  <si>
    <t>, JOSE</t>
  </si>
  <si>
    <t>, LORENA</t>
  </si>
  <si>
    <t>, PATRICIA</t>
  </si>
  <si>
    <t>, ABRAHAM</t>
  </si>
  <si>
    <t>, MACEDONIO</t>
  </si>
  <si>
    <t>, CARLOS</t>
  </si>
  <si>
    <t>, SANDRA</t>
  </si>
  <si>
    <t>11:50 - 12:40</t>
  </si>
  <si>
    <t>12:40 - 13:30</t>
  </si>
  <si>
    <t>13:30 - 14:20</t>
  </si>
  <si>
    <t>Horas asignadas</t>
  </si>
  <si>
    <t>ESTRUCTURA</t>
  </si>
  <si>
    <t>GRUPO</t>
  </si>
  <si>
    <t>PERFIL</t>
  </si>
  <si>
    <t>1-2-1</t>
  </si>
  <si>
    <t>ESCUELA SECUNDARIA TÉCNICA 24, "PLAN DE SAN LUIS", SAYULILLA, NAYARIT</t>
  </si>
  <si>
    <t>Inglés I - GUSTAVO</t>
  </si>
  <si>
    <t>Inglés III - GUSTAVO</t>
  </si>
  <si>
    <t>Inglés II - GUSTAVO</t>
  </si>
  <si>
    <t>Español III - SANDRA</t>
  </si>
  <si>
    <t>A. Curricular</t>
  </si>
  <si>
    <t>A. Curricular - ABRAHAM</t>
  </si>
  <si>
    <t>MAESTRO:</t>
  </si>
  <si>
    <t>Español II - RAUL</t>
  </si>
  <si>
    <t>Español I - RAUL</t>
  </si>
  <si>
    <t>Tutoría - RAUL</t>
  </si>
  <si>
    <t>A. Curricular - LORENA</t>
  </si>
  <si>
    <t>Ciencias III - CARLOS</t>
  </si>
  <si>
    <t>Ciencias II - CARLOS</t>
  </si>
  <si>
    <t>Ciencias I - MACEDONIO</t>
  </si>
  <si>
    <t>Matemáticas II - MANUEL</t>
  </si>
  <si>
    <t>Matemáticas III - MANUEL</t>
  </si>
  <si>
    <t>Artes II - XITLALI</t>
  </si>
  <si>
    <t>Tutoría - XITLALI</t>
  </si>
  <si>
    <t>Tutoría - JOSE</t>
  </si>
  <si>
    <t>Tutoría - MELISSA</t>
  </si>
  <si>
    <t>Historia III - JOSE</t>
  </si>
  <si>
    <t>Historia II - JOSE</t>
  </si>
  <si>
    <t>Artes III - JOSE</t>
  </si>
  <si>
    <t>F.C.E. I - MELISSA</t>
  </si>
  <si>
    <t>FCE III - MELISSA</t>
  </si>
  <si>
    <t>Historia I - PATRICIA</t>
  </si>
  <si>
    <t>Geografía - PATRICIA</t>
  </si>
  <si>
    <t>Historia II - PATRICIA</t>
  </si>
  <si>
    <t>FCE II</t>
  </si>
  <si>
    <t>FCE II - LORENA</t>
  </si>
  <si>
    <t>Grado / Grupo</t>
  </si>
  <si>
    <t>Observaciones</t>
  </si>
  <si>
    <t>Asesor</t>
  </si>
  <si>
    <t>1º A</t>
  </si>
  <si>
    <t>1º B</t>
  </si>
  <si>
    <t>1º C</t>
  </si>
  <si>
    <t>1º D</t>
  </si>
  <si>
    <t>Mauricio López Castellón</t>
  </si>
  <si>
    <t>Adriana Arciniega Sandoval</t>
  </si>
  <si>
    <t>2º A</t>
  </si>
  <si>
    <t>2º B</t>
  </si>
  <si>
    <t>2º C</t>
  </si>
  <si>
    <t>2º D</t>
  </si>
  <si>
    <t>3º A</t>
  </si>
  <si>
    <t>3º B</t>
  </si>
  <si>
    <t>Antonio de Jesús Torres Moreno</t>
  </si>
  <si>
    <t>3º C</t>
  </si>
  <si>
    <t>Jorge Ivan Salazar Soria</t>
  </si>
  <si>
    <t>Blanca Delia Arana Ramírez</t>
  </si>
  <si>
    <t xml:space="preserve">Total: </t>
  </si>
  <si>
    <t>Educ. Física III - MACEDONIO</t>
  </si>
  <si>
    <t>Educ. Física II - MACEDONIO</t>
  </si>
  <si>
    <t>Educ. Física I - MACEDONIO</t>
  </si>
  <si>
    <t>Artes I - GUSTAVO</t>
  </si>
  <si>
    <t>Tecnología - MACEDONIO</t>
  </si>
  <si>
    <t>Tecnología - LORENA</t>
  </si>
  <si>
    <t>A. Curricular - MACEDONIO</t>
  </si>
  <si>
    <t>Tecnología - ABRAHAM</t>
  </si>
  <si>
    <t>Matemáticas I - MELISSA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</si>
</sst>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8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2"/>
      <color theme="1"/>
      <name val="Helvetica"/>
      <family val="2"/>
    </font>
    <font>
      <b/>
      <sz val="2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FB9CA"/>
        <bgColor indexed="64"/>
      </patternFill>
    </fill>
    <fill>
      <patternFill patternType="solid">
        <fgColor rgb="FFD98D99"/>
        <bgColor indexed="64"/>
      </patternFill>
    </fill>
    <fill>
      <patternFill patternType="solid">
        <fgColor rgb="FFF3B17A"/>
        <bgColor indexed="64"/>
      </patternFill>
    </fill>
    <fill>
      <patternFill patternType="solid">
        <fgColor rgb="FFEAE692"/>
        <bgColor indexed="64"/>
      </patternFill>
    </fill>
    <fill>
      <patternFill patternType="solid">
        <fgColor rgb="FF8DBC9E"/>
        <bgColor indexed="64"/>
      </patternFill>
    </fill>
    <fill>
      <patternFill patternType="solid">
        <fgColor rgb="FF7E6A8D"/>
        <bgColor indexed="64"/>
      </patternFill>
    </fill>
    <fill>
      <patternFill patternType="solid">
        <fgColor rgb="FFCEDC9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medium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/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medium">
        <color auto="1"/>
      </bottom>
      <diagonal/>
    </border>
    <border>
      <left style="thin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theme="0"/>
      </right>
      <top/>
      <bottom style="medium">
        <color auto="1"/>
      </bottom>
      <diagonal/>
    </border>
    <border>
      <left/>
      <right style="thin">
        <color theme="0"/>
      </right>
      <top/>
      <bottom style="medium">
        <color auto="1"/>
      </bottom>
      <diagonal/>
    </border>
    <border>
      <left style="thin">
        <color theme="0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08">
    <xf numFmtId="0" fontId="0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" fillId="0" borderId="0"/>
    <xf numFmtId="0" fontId="30" fillId="0" borderId="0"/>
  </cellStyleXfs>
  <cellXfs count="513">
    <xf numFmtId="0" fontId="0" fillId="0" borderId="0" xfId="0"/>
    <xf numFmtId="0" fontId="0" fillId="0" borderId="0" xfId="0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horizontal="right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/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2" borderId="19" xfId="0" applyFont="1" applyFill="1" applyBorder="1" applyAlignment="1">
      <alignment horizontal="center" vertical="center" wrapText="1"/>
    </xf>
    <xf numFmtId="0" fontId="0" fillId="2" borderId="20" xfId="0" applyFont="1" applyFill="1" applyBorder="1" applyAlignment="1">
      <alignment horizontal="center" vertical="center" wrapText="1"/>
    </xf>
    <xf numFmtId="0" fontId="0" fillId="0" borderId="22" xfId="0" applyFont="1" applyBorder="1" applyAlignment="1">
      <alignment horizontal="left" vertical="center"/>
    </xf>
    <xf numFmtId="0" fontId="0" fillId="0" borderId="24" xfId="0" applyFont="1" applyBorder="1" applyAlignment="1">
      <alignment horizontal="left" vertical="center"/>
    </xf>
    <xf numFmtId="0" fontId="0" fillId="2" borderId="18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25" xfId="0" applyBorder="1"/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Font="1"/>
    <xf numFmtId="0" fontId="4" fillId="0" borderId="34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right"/>
    </xf>
    <xf numFmtId="0" fontId="4" fillId="0" borderId="0" xfId="0" applyFont="1" applyBorder="1"/>
    <xf numFmtId="0" fontId="4" fillId="0" borderId="37" xfId="0" applyFont="1" applyBorder="1" applyAlignment="1">
      <alignment horizontal="right"/>
    </xf>
    <xf numFmtId="0" fontId="4" fillId="0" borderId="37" xfId="0" applyFont="1" applyBorder="1"/>
    <xf numFmtId="0" fontId="4" fillId="0" borderId="37" xfId="0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3" xfId="0" applyFont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 shrinkToFit="1"/>
    </xf>
    <xf numFmtId="0" fontId="0" fillId="0" borderId="1" xfId="0" applyFont="1" applyBorder="1" applyAlignment="1">
      <alignment horizontal="center" vertical="center" shrinkToFit="1"/>
    </xf>
    <xf numFmtId="0" fontId="0" fillId="0" borderId="2" xfId="0" applyFont="1" applyBorder="1" applyAlignment="1">
      <alignment horizontal="center" vertical="center" shrinkToFit="1"/>
    </xf>
    <xf numFmtId="0" fontId="0" fillId="0" borderId="9" xfId="0" applyFont="1" applyFill="1" applyBorder="1" applyAlignment="1">
      <alignment horizontal="center" vertical="center" shrinkToFit="1"/>
    </xf>
    <xf numFmtId="0" fontId="0" fillId="0" borderId="3" xfId="0" applyFont="1" applyBorder="1" applyAlignment="1">
      <alignment horizontal="center" vertical="center" shrinkToFit="1"/>
    </xf>
    <xf numFmtId="0" fontId="0" fillId="0" borderId="35" xfId="0" applyFont="1" applyBorder="1" applyAlignment="1">
      <alignment horizontal="center" vertical="center" shrinkToFit="1"/>
    </xf>
    <xf numFmtId="0" fontId="0" fillId="0" borderId="16" xfId="0" applyFont="1" applyFill="1" applyBorder="1" applyAlignment="1">
      <alignment horizontal="center" vertical="center" shrinkToFit="1"/>
    </xf>
    <xf numFmtId="0" fontId="0" fillId="0" borderId="5" xfId="0" applyFont="1" applyBorder="1" applyAlignment="1">
      <alignment horizontal="center" vertical="center" shrinkToFit="1"/>
    </xf>
    <xf numFmtId="0" fontId="0" fillId="0" borderId="34" xfId="0" applyFont="1" applyBorder="1" applyAlignment="1">
      <alignment horizontal="center" vertical="center" shrinkToFit="1"/>
    </xf>
    <xf numFmtId="0" fontId="0" fillId="0" borderId="7" xfId="0" applyFont="1" applyBorder="1" applyAlignment="1">
      <alignment horizontal="center" vertical="center" shrinkToFit="1"/>
    </xf>
    <xf numFmtId="0" fontId="0" fillId="0" borderId="9" xfId="0" applyFont="1" applyBorder="1" applyAlignment="1">
      <alignment horizontal="center" vertical="center" shrinkToFit="1"/>
    </xf>
    <xf numFmtId="0" fontId="0" fillId="0" borderId="16" xfId="0" applyFont="1" applyBorder="1" applyAlignment="1">
      <alignment horizontal="center" vertical="center" shrinkToFit="1"/>
    </xf>
    <xf numFmtId="0" fontId="0" fillId="0" borderId="14" xfId="0" applyFont="1" applyBorder="1" applyAlignment="1">
      <alignment horizontal="center" vertical="center" shrinkToFit="1"/>
    </xf>
    <xf numFmtId="0" fontId="0" fillId="0" borderId="15" xfId="0" applyFont="1" applyBorder="1" applyAlignment="1">
      <alignment horizontal="center" vertical="center" shrinkToFit="1"/>
    </xf>
    <xf numFmtId="0" fontId="0" fillId="0" borderId="17" xfId="0" applyFont="1" applyBorder="1" applyAlignment="1">
      <alignment horizontal="center" vertical="center" shrinkToFit="1"/>
    </xf>
    <xf numFmtId="0" fontId="0" fillId="0" borderId="38" xfId="0" applyBorder="1"/>
    <xf numFmtId="0" fontId="0" fillId="0" borderId="21" xfId="0" applyBorder="1"/>
    <xf numFmtId="0" fontId="0" fillId="0" borderId="23" xfId="0" applyBorder="1"/>
    <xf numFmtId="0" fontId="0" fillId="0" borderId="40" xfId="0" applyBorder="1"/>
    <xf numFmtId="0" fontId="6" fillId="0" borderId="18" xfId="0" applyFont="1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7" fillId="0" borderId="10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3" borderId="33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 wrapText="1"/>
    </xf>
    <xf numFmtId="0" fontId="8" fillId="0" borderId="42" xfId="0" applyFont="1" applyBorder="1" applyAlignment="1">
      <alignment horizontal="center" vertical="center" wrapText="1"/>
    </xf>
    <xf numFmtId="0" fontId="8" fillId="0" borderId="46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0" fillId="0" borderId="52" xfId="0" applyFont="1" applyBorder="1" applyAlignment="1">
      <alignment horizontal="center" vertical="center" shrinkToFit="1"/>
    </xf>
    <xf numFmtId="0" fontId="0" fillId="0" borderId="53" xfId="0" applyFont="1" applyBorder="1" applyAlignment="1">
      <alignment horizontal="center" vertical="center" shrinkToFit="1"/>
    </xf>
    <xf numFmtId="0" fontId="4" fillId="0" borderId="55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9" fillId="0" borderId="58" xfId="0" applyFont="1" applyBorder="1" applyAlignment="1">
      <alignment horizontal="center" vertical="center"/>
    </xf>
    <xf numFmtId="0" fontId="10" fillId="0" borderId="22" xfId="0" applyFont="1" applyBorder="1" applyAlignment="1">
      <alignment horizontal="left"/>
    </xf>
    <xf numFmtId="0" fontId="10" fillId="0" borderId="24" xfId="0" applyFont="1" applyBorder="1" applyAlignment="1">
      <alignment horizontal="left"/>
    </xf>
    <xf numFmtId="0" fontId="0" fillId="0" borderId="0" xfId="0" applyAlignment="1">
      <alignment horizontal="center" vertical="center"/>
    </xf>
    <xf numFmtId="0" fontId="4" fillId="0" borderId="47" xfId="0" applyFont="1" applyBorder="1"/>
    <xf numFmtId="0" fontId="4" fillId="2" borderId="18" xfId="0" applyFont="1" applyFill="1" applyBorder="1" applyAlignment="1">
      <alignment horizontal="center" vertical="center" wrapText="1"/>
    </xf>
    <xf numFmtId="0" fontId="0" fillId="0" borderId="19" xfId="0" applyBorder="1"/>
    <xf numFmtId="0" fontId="0" fillId="0" borderId="39" xfId="0" applyBorder="1"/>
    <xf numFmtId="0" fontId="10" fillId="0" borderId="20" xfId="0" applyFont="1" applyBorder="1" applyAlignment="1">
      <alignment horizontal="left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/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1" xfId="0" applyBorder="1"/>
    <xf numFmtId="0" fontId="0" fillId="0" borderId="0" xfId="0" applyBorder="1" applyAlignment="1">
      <alignment horizontal="right"/>
    </xf>
    <xf numFmtId="0" fontId="0" fillId="2" borderId="1" xfId="0" applyFont="1" applyFill="1" applyBorder="1" applyAlignment="1">
      <alignment horizontal="center" vertical="center" wrapText="1"/>
    </xf>
    <xf numFmtId="0" fontId="0" fillId="2" borderId="22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0" fontId="0" fillId="0" borderId="22" xfId="0" applyFont="1" applyBorder="1" applyAlignment="1">
      <alignment horizontal="center" vertical="center"/>
    </xf>
    <xf numFmtId="0" fontId="0" fillId="0" borderId="40" xfId="0" applyBorder="1" applyAlignment="1">
      <alignment horizontal="left" vertical="center"/>
    </xf>
    <xf numFmtId="0" fontId="0" fillId="0" borderId="40" xfId="0" applyFont="1" applyBorder="1" applyAlignment="1">
      <alignment horizontal="left" vertical="center"/>
    </xf>
    <xf numFmtId="0" fontId="0" fillId="0" borderId="24" xfId="0" applyFont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 shrinkToFit="1"/>
    </xf>
    <xf numFmtId="0" fontId="0" fillId="0" borderId="1" xfId="0" applyFont="1" applyFill="1" applyBorder="1" applyAlignment="1">
      <alignment horizontal="center" vertical="center" shrinkToFit="1"/>
    </xf>
    <xf numFmtId="0" fontId="16" fillId="0" borderId="39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0" xfId="0" applyFont="1" applyBorder="1" applyAlignment="1">
      <alignment horizontal="center" vertical="center"/>
    </xf>
    <xf numFmtId="0" fontId="0" fillId="0" borderId="0" xfId="0" applyFill="1" applyBorder="1"/>
    <xf numFmtId="0" fontId="3" fillId="0" borderId="0" xfId="5"/>
    <xf numFmtId="0" fontId="3" fillId="0" borderId="72" xfId="5" applyBorder="1" applyAlignment="1">
      <alignment horizontal="center" vertical="center"/>
    </xf>
    <xf numFmtId="0" fontId="3" fillId="0" borderId="73" xfId="5" applyBorder="1" applyAlignment="1">
      <alignment horizontal="center" vertical="center"/>
    </xf>
    <xf numFmtId="0" fontId="3" fillId="0" borderId="74" xfId="5" applyBorder="1" applyAlignment="1">
      <alignment horizontal="center" vertical="center"/>
    </xf>
    <xf numFmtId="0" fontId="3" fillId="0" borderId="75" xfId="5" applyBorder="1" applyAlignment="1">
      <alignment horizontal="center" vertical="center"/>
    </xf>
    <xf numFmtId="0" fontId="3" fillId="0" borderId="0" xfId="5" applyBorder="1" applyAlignment="1">
      <alignment horizontal="center" vertical="center"/>
    </xf>
    <xf numFmtId="0" fontId="3" fillId="0" borderId="76" xfId="5" applyBorder="1" applyAlignment="1">
      <alignment horizontal="center" vertical="center"/>
    </xf>
    <xf numFmtId="0" fontId="3" fillId="0" borderId="31" xfId="5" applyBorder="1" applyAlignment="1">
      <alignment horizontal="center" vertical="center"/>
    </xf>
    <xf numFmtId="0" fontId="3" fillId="0" borderId="28" xfId="5" applyBorder="1" applyAlignment="1">
      <alignment horizontal="center" vertical="center"/>
    </xf>
    <xf numFmtId="0" fontId="15" fillId="0" borderId="26" xfId="5" applyFont="1" applyBorder="1" applyAlignment="1">
      <alignment horizontal="center" vertical="center"/>
    </xf>
    <xf numFmtId="0" fontId="15" fillId="0" borderId="27" xfId="5" applyFont="1" applyBorder="1" applyAlignment="1">
      <alignment horizontal="center" vertical="center"/>
    </xf>
    <xf numFmtId="0" fontId="15" fillId="0" borderId="56" xfId="5" applyFont="1" applyBorder="1" applyAlignment="1">
      <alignment horizontal="center" vertical="center"/>
    </xf>
    <xf numFmtId="0" fontId="15" fillId="0" borderId="77" xfId="5" applyFont="1" applyBorder="1" applyAlignment="1">
      <alignment horizontal="center" vertical="center"/>
    </xf>
    <xf numFmtId="0" fontId="15" fillId="0" borderId="78" xfId="5" applyFont="1" applyBorder="1" applyAlignment="1">
      <alignment horizontal="center" vertical="center"/>
    </xf>
    <xf numFmtId="0" fontId="3" fillId="0" borderId="0" xfId="5" applyAlignment="1">
      <alignment horizontal="center"/>
    </xf>
    <xf numFmtId="0" fontId="17" fillId="0" borderId="0" xfId="5" applyFont="1"/>
    <xf numFmtId="0" fontId="3" fillId="0" borderId="79" xfId="5" applyBorder="1" applyAlignment="1">
      <alignment horizontal="center" vertical="center"/>
    </xf>
    <xf numFmtId="0" fontId="3" fillId="0" borderId="80" xfId="5" applyBorder="1" applyAlignment="1">
      <alignment horizontal="center"/>
    </xf>
    <xf numFmtId="0" fontId="3" fillId="0" borderId="81" xfId="5" applyBorder="1" applyAlignment="1">
      <alignment horizontal="center"/>
    </xf>
    <xf numFmtId="0" fontId="3" fillId="0" borderId="82" xfId="5" applyBorder="1" applyAlignment="1">
      <alignment horizontal="center"/>
    </xf>
    <xf numFmtId="0" fontId="3" fillId="0" borderId="83" xfId="5" applyBorder="1" applyAlignment="1">
      <alignment horizontal="center"/>
    </xf>
    <xf numFmtId="0" fontId="3" fillId="0" borderId="84" xfId="5" applyBorder="1" applyAlignment="1">
      <alignment horizontal="center"/>
    </xf>
    <xf numFmtId="0" fontId="3" fillId="0" borderId="85" xfId="5" applyBorder="1" applyAlignment="1">
      <alignment horizontal="center"/>
    </xf>
    <xf numFmtId="0" fontId="3" fillId="0" borderId="86" xfId="5" applyBorder="1" applyAlignment="1">
      <alignment horizontal="center" vertical="center"/>
    </xf>
    <xf numFmtId="0" fontId="3" fillId="0" borderId="87" xfId="5" applyBorder="1" applyAlignment="1">
      <alignment horizontal="center"/>
    </xf>
    <xf numFmtId="0" fontId="3" fillId="0" borderId="88" xfId="5" applyBorder="1" applyAlignment="1">
      <alignment horizontal="center"/>
    </xf>
    <xf numFmtId="0" fontId="3" fillId="0" borderId="89" xfId="5" applyBorder="1" applyAlignment="1">
      <alignment horizontal="center"/>
    </xf>
    <xf numFmtId="0" fontId="3" fillId="0" borderId="90" xfId="5" applyBorder="1" applyAlignment="1">
      <alignment horizontal="center"/>
    </xf>
    <xf numFmtId="0" fontId="3" fillId="0" borderId="91" xfId="5" applyBorder="1" applyAlignment="1">
      <alignment horizontal="center"/>
    </xf>
    <xf numFmtId="0" fontId="3" fillId="0" borderId="92" xfId="5" applyBorder="1" applyAlignment="1">
      <alignment horizontal="center"/>
    </xf>
    <xf numFmtId="0" fontId="3" fillId="0" borderId="0" xfId="5" applyAlignment="1">
      <alignment horizontal="right"/>
    </xf>
    <xf numFmtId="0" fontId="3" fillId="0" borderId="38" xfId="5" applyBorder="1" applyAlignment="1">
      <alignment horizontal="center" vertical="center"/>
    </xf>
    <xf numFmtId="0" fontId="3" fillId="0" borderId="93" xfId="5" applyBorder="1" applyAlignment="1">
      <alignment horizontal="center"/>
    </xf>
    <xf numFmtId="0" fontId="3" fillId="0" borderId="94" xfId="5" applyBorder="1" applyAlignment="1">
      <alignment horizontal="center"/>
    </xf>
    <xf numFmtId="0" fontId="3" fillId="0" borderId="95" xfId="5" applyBorder="1" applyAlignment="1">
      <alignment horizontal="center"/>
    </xf>
    <xf numFmtId="0" fontId="3" fillId="0" borderId="96" xfId="5" applyBorder="1" applyAlignment="1">
      <alignment horizontal="center"/>
    </xf>
    <xf numFmtId="0" fontId="3" fillId="0" borderId="97" xfId="5" applyBorder="1" applyAlignment="1">
      <alignment horizontal="center"/>
    </xf>
    <xf numFmtId="0" fontId="3" fillId="0" borderId="98" xfId="5" applyBorder="1" applyAlignment="1">
      <alignment horizontal="center"/>
    </xf>
    <xf numFmtId="0" fontId="18" fillId="0" borderId="62" xfId="5" applyFont="1" applyBorder="1" applyAlignment="1">
      <alignment horizontal="center"/>
    </xf>
    <xf numFmtId="0" fontId="18" fillId="0" borderId="25" xfId="5" applyFont="1" applyBorder="1" applyAlignment="1">
      <alignment horizontal="center"/>
    </xf>
    <xf numFmtId="0" fontId="18" fillId="0" borderId="38" xfId="5" applyFont="1" applyBorder="1" applyAlignment="1">
      <alignment horizontal="center"/>
    </xf>
    <xf numFmtId="0" fontId="2" fillId="0" borderId="0" xfId="106"/>
    <xf numFmtId="0" fontId="2" fillId="0" borderId="18" xfId="106" applyBorder="1" applyAlignment="1">
      <alignment horizontal="center" vertical="center"/>
    </xf>
    <xf numFmtId="0" fontId="15" fillId="0" borderId="18" xfId="106" applyFont="1" applyBorder="1" applyAlignment="1">
      <alignment horizontal="center" textRotation="90"/>
    </xf>
    <xf numFmtId="0" fontId="15" fillId="0" borderId="23" xfId="106" applyFont="1" applyBorder="1" applyAlignment="1">
      <alignment horizontal="center" textRotation="90"/>
    </xf>
    <xf numFmtId="0" fontId="15" fillId="0" borderId="40" xfId="106" applyFont="1" applyBorder="1" applyAlignment="1">
      <alignment horizontal="center" textRotation="90"/>
    </xf>
    <xf numFmtId="0" fontId="15" fillId="0" borderId="24" xfId="106" applyFont="1" applyBorder="1" applyAlignment="1">
      <alignment horizontal="center" textRotation="90"/>
    </xf>
    <xf numFmtId="0" fontId="15" fillId="0" borderId="18" xfId="106" applyFont="1" applyFill="1" applyBorder="1" applyAlignment="1">
      <alignment horizontal="center" textRotation="90"/>
    </xf>
    <xf numFmtId="0" fontId="15" fillId="0" borderId="62" xfId="106" applyFont="1" applyFill="1" applyBorder="1" applyAlignment="1">
      <alignment horizontal="center" textRotation="90"/>
    </xf>
    <xf numFmtId="0" fontId="2" fillId="0" borderId="33" xfId="106" applyBorder="1" applyAlignment="1">
      <alignment horizontal="center" vertical="center"/>
    </xf>
    <xf numFmtId="0" fontId="21" fillId="0" borderId="33" xfId="106" applyFont="1" applyBorder="1" applyAlignment="1">
      <alignment horizontal="left"/>
    </xf>
    <xf numFmtId="0" fontId="22" fillId="0" borderId="33" xfId="106" applyFont="1" applyBorder="1" applyAlignment="1">
      <alignment horizontal="center" vertical="center"/>
    </xf>
    <xf numFmtId="0" fontId="9" fillId="0" borderId="19" xfId="106" applyFont="1" applyBorder="1" applyAlignment="1">
      <alignment horizontal="center" vertical="center"/>
    </xf>
    <xf numFmtId="0" fontId="9" fillId="0" borderId="39" xfId="106" applyFont="1" applyBorder="1" applyAlignment="1">
      <alignment horizontal="center" vertical="center"/>
    </xf>
    <xf numFmtId="0" fontId="9" fillId="0" borderId="20" xfId="106" applyFont="1" applyBorder="1" applyAlignment="1">
      <alignment horizontal="center" vertical="center"/>
    </xf>
    <xf numFmtId="0" fontId="9" fillId="0" borderId="33" xfId="106" applyFont="1" applyBorder="1" applyAlignment="1">
      <alignment horizontal="center" vertical="center"/>
    </xf>
    <xf numFmtId="0" fontId="2" fillId="0" borderId="42" xfId="106" applyBorder="1" applyAlignment="1">
      <alignment horizontal="center" vertical="center"/>
    </xf>
    <xf numFmtId="0" fontId="21" fillId="0" borderId="101" xfId="106" applyFont="1" applyBorder="1" applyAlignment="1">
      <alignment horizontal="left"/>
    </xf>
    <xf numFmtId="0" fontId="22" fillId="0" borderId="101" xfId="106" applyFont="1" applyBorder="1" applyAlignment="1">
      <alignment horizontal="center" vertical="center"/>
    </xf>
    <xf numFmtId="0" fontId="9" fillId="0" borderId="66" xfId="106" applyFont="1" applyBorder="1" applyAlignment="1">
      <alignment horizontal="center" vertical="center"/>
    </xf>
    <xf numFmtId="0" fontId="9" fillId="0" borderId="15" xfId="106" applyFont="1" applyBorder="1" applyAlignment="1">
      <alignment horizontal="center" vertical="center"/>
    </xf>
    <xf numFmtId="0" fontId="9" fillId="0" borderId="67" xfId="106" applyFont="1" applyBorder="1" applyAlignment="1">
      <alignment horizontal="center" vertical="center"/>
    </xf>
    <xf numFmtId="0" fontId="9" fillId="0" borderId="101" xfId="106" applyFont="1" applyBorder="1" applyAlignment="1">
      <alignment horizontal="center" vertical="center"/>
    </xf>
    <xf numFmtId="0" fontId="21" fillId="0" borderId="42" xfId="106" applyFont="1" applyBorder="1" applyAlignment="1">
      <alignment horizontal="left"/>
    </xf>
    <xf numFmtId="0" fontId="22" fillId="0" borderId="42" xfId="106" applyFont="1" applyBorder="1" applyAlignment="1">
      <alignment horizontal="center" vertical="center"/>
    </xf>
    <xf numFmtId="0" fontId="9" fillId="0" borderId="21" xfId="106" applyFont="1" applyBorder="1" applyAlignment="1">
      <alignment horizontal="center" vertical="center"/>
    </xf>
    <xf numFmtId="0" fontId="9" fillId="0" borderId="1" xfId="106" applyFont="1" applyBorder="1" applyAlignment="1">
      <alignment horizontal="center" vertical="center"/>
    </xf>
    <xf numFmtId="0" fontId="9" fillId="0" borderId="22" xfId="106" applyFont="1" applyBorder="1" applyAlignment="1">
      <alignment horizontal="center" vertical="center"/>
    </xf>
    <xf numFmtId="0" fontId="9" fillId="0" borderId="42" xfId="106" applyFont="1" applyBorder="1" applyAlignment="1">
      <alignment horizontal="center" vertical="center"/>
    </xf>
    <xf numFmtId="0" fontId="21" fillId="0" borderId="42" xfId="106" applyFont="1" applyFill="1" applyBorder="1" applyAlignment="1">
      <alignment horizontal="left"/>
    </xf>
    <xf numFmtId="0" fontId="22" fillId="0" borderId="42" xfId="106" applyFont="1" applyFill="1" applyBorder="1" applyAlignment="1">
      <alignment horizontal="center" vertical="center"/>
    </xf>
    <xf numFmtId="0" fontId="9" fillId="0" borderId="21" xfId="106" applyFont="1" applyFill="1" applyBorder="1" applyAlignment="1">
      <alignment horizontal="center" vertical="center"/>
    </xf>
    <xf numFmtId="0" fontId="9" fillId="0" borderId="1" xfId="106" applyFont="1" applyFill="1" applyBorder="1" applyAlignment="1">
      <alignment horizontal="center" vertical="center"/>
    </xf>
    <xf numFmtId="0" fontId="9" fillId="0" borderId="22" xfId="106" applyFont="1" applyFill="1" applyBorder="1" applyAlignment="1">
      <alignment horizontal="center" vertical="center"/>
    </xf>
    <xf numFmtId="0" fontId="9" fillId="0" borderId="42" xfId="106" applyFont="1" applyFill="1" applyBorder="1" applyAlignment="1">
      <alignment horizontal="center" vertical="center"/>
    </xf>
    <xf numFmtId="0" fontId="2" fillId="0" borderId="43" xfId="106" applyBorder="1" applyAlignment="1">
      <alignment horizontal="center" vertical="center"/>
    </xf>
    <xf numFmtId="0" fontId="21" fillId="0" borderId="43" xfId="106" applyFont="1" applyBorder="1" applyAlignment="1">
      <alignment horizontal="left"/>
    </xf>
    <xf numFmtId="0" fontId="22" fillId="0" borderId="43" xfId="106" applyFont="1" applyBorder="1" applyAlignment="1">
      <alignment horizontal="center" vertical="center"/>
    </xf>
    <xf numFmtId="0" fontId="9" fillId="0" borderId="23" xfId="106" applyFont="1" applyBorder="1" applyAlignment="1">
      <alignment horizontal="center" vertical="center"/>
    </xf>
    <xf numFmtId="0" fontId="9" fillId="0" borderId="40" xfId="106" applyFont="1" applyBorder="1" applyAlignment="1">
      <alignment horizontal="center" vertical="center"/>
    </xf>
    <xf numFmtId="0" fontId="9" fillId="0" borderId="24" xfId="106" applyFont="1" applyBorder="1" applyAlignment="1">
      <alignment horizontal="center" vertical="center"/>
    </xf>
    <xf numFmtId="0" fontId="9" fillId="0" borderId="43" xfId="106" applyFont="1" applyBorder="1" applyAlignment="1">
      <alignment horizontal="center" vertical="center"/>
    </xf>
    <xf numFmtId="0" fontId="21" fillId="0" borderId="102" xfId="106" applyFont="1" applyFill="1" applyBorder="1" applyAlignment="1">
      <alignment horizontal="right" vertical="center"/>
    </xf>
    <xf numFmtId="0" fontId="9" fillId="0" borderId="18" xfId="106" applyFont="1" applyBorder="1" applyAlignment="1">
      <alignment horizontal="center" vertical="center"/>
    </xf>
    <xf numFmtId="0" fontId="9" fillId="0" borderId="103" xfId="106" applyFont="1" applyBorder="1" applyAlignment="1">
      <alignment horizontal="center" vertical="center"/>
    </xf>
    <xf numFmtId="0" fontId="9" fillId="0" borderId="104" xfId="106" applyFont="1" applyBorder="1" applyAlignment="1">
      <alignment horizontal="center" vertical="center"/>
    </xf>
    <xf numFmtId="0" fontId="9" fillId="0" borderId="105" xfId="106" applyFont="1" applyBorder="1" applyAlignment="1">
      <alignment horizontal="center" vertical="center"/>
    </xf>
    <xf numFmtId="0" fontId="6" fillId="0" borderId="18" xfId="106" applyFont="1" applyBorder="1" applyAlignment="1">
      <alignment horizontal="center" vertical="center"/>
    </xf>
    <xf numFmtId="0" fontId="6" fillId="0" borderId="62" xfId="106" applyFont="1" applyBorder="1" applyAlignment="1">
      <alignment horizontal="center" vertical="center"/>
    </xf>
    <xf numFmtId="0" fontId="9" fillId="0" borderId="102" xfId="106" applyFont="1" applyBorder="1"/>
    <xf numFmtId="0" fontId="21" fillId="0" borderId="31" xfId="106" applyFont="1" applyFill="1" applyBorder="1" applyAlignment="1">
      <alignment horizontal="right" vertical="center"/>
    </xf>
    <xf numFmtId="0" fontId="6" fillId="0" borderId="103" xfId="106" applyFont="1" applyBorder="1" applyAlignment="1">
      <alignment horizontal="center" vertical="center"/>
    </xf>
    <xf numFmtId="0" fontId="6" fillId="0" borderId="104" xfId="106" applyFont="1" applyBorder="1" applyAlignment="1">
      <alignment horizontal="center" vertical="center"/>
    </xf>
    <xf numFmtId="0" fontId="6" fillId="0" borderId="105" xfId="106" applyFont="1" applyBorder="1" applyAlignment="1">
      <alignment horizontal="center" vertical="center"/>
    </xf>
    <xf numFmtId="0" fontId="6" fillId="0" borderId="28" xfId="106" applyFont="1" applyBorder="1" applyAlignment="1">
      <alignment horizontal="center" vertical="center"/>
    </xf>
    <xf numFmtId="0" fontId="6" fillId="0" borderId="102" xfId="106" applyFont="1" applyBorder="1" applyAlignment="1">
      <alignment horizontal="center" vertical="center"/>
    </xf>
    <xf numFmtId="0" fontId="6" fillId="0" borderId="0" xfId="106" applyFont="1" applyBorder="1" applyAlignment="1">
      <alignment horizontal="center" vertical="center"/>
    </xf>
    <xf numFmtId="0" fontId="21" fillId="0" borderId="18" xfId="106" applyFont="1" applyFill="1" applyBorder="1" applyAlignment="1">
      <alignment horizontal="right" vertical="center"/>
    </xf>
    <xf numFmtId="0" fontId="23" fillId="0" borderId="18" xfId="106" applyFont="1" applyBorder="1" applyAlignment="1">
      <alignment horizontal="center" vertical="center"/>
    </xf>
    <xf numFmtId="0" fontId="2" fillId="4" borderId="109" xfId="106" applyFill="1" applyBorder="1" applyAlignment="1">
      <alignment horizontal="center" vertical="center"/>
    </xf>
    <xf numFmtId="0" fontId="9" fillId="9" borderId="109" xfId="106" applyFont="1" applyFill="1" applyBorder="1" applyAlignment="1">
      <alignment horizontal="center" vertical="center"/>
    </xf>
    <xf numFmtId="0" fontId="9" fillId="10" borderId="109" xfId="106" applyFont="1" applyFill="1" applyBorder="1" applyAlignment="1">
      <alignment horizontal="center" vertical="center"/>
    </xf>
    <xf numFmtId="0" fontId="9" fillId="11" borderId="109" xfId="106" applyFont="1" applyFill="1" applyBorder="1" applyAlignment="1">
      <alignment horizontal="center" vertical="center" wrapText="1"/>
    </xf>
    <xf numFmtId="0" fontId="9" fillId="11" borderId="109" xfId="106" applyFont="1" applyFill="1" applyBorder="1" applyAlignment="1">
      <alignment horizontal="center" vertical="center"/>
    </xf>
    <xf numFmtId="0" fontId="9" fillId="12" borderId="109" xfId="106" applyFont="1" applyFill="1" applyBorder="1" applyAlignment="1">
      <alignment horizontal="center" vertical="center"/>
    </xf>
    <xf numFmtId="0" fontId="9" fillId="13" borderId="109" xfId="106" applyFont="1" applyFill="1" applyBorder="1" applyAlignment="1">
      <alignment horizontal="center" vertical="center"/>
    </xf>
    <xf numFmtId="0" fontId="9" fillId="15" borderId="109" xfId="106" applyFont="1" applyFill="1" applyBorder="1" applyAlignment="1">
      <alignment horizontal="center" vertical="center" wrapText="1"/>
    </xf>
    <xf numFmtId="0" fontId="2" fillId="9" borderId="109" xfId="106" applyFill="1" applyBorder="1"/>
    <xf numFmtId="0" fontId="2" fillId="9" borderId="109" xfId="106" applyFill="1" applyBorder="1" applyAlignment="1">
      <alignment horizontal="center"/>
    </xf>
    <xf numFmtId="164" fontId="2" fillId="9" borderId="109" xfId="106" applyNumberFormat="1" applyFill="1" applyBorder="1" applyAlignment="1">
      <alignment horizontal="center"/>
    </xf>
    <xf numFmtId="0" fontId="2" fillId="10" borderId="109" xfId="106" applyFill="1" applyBorder="1"/>
    <xf numFmtId="0" fontId="2" fillId="10" borderId="109" xfId="106" applyFill="1" applyBorder="1" applyAlignment="1">
      <alignment horizontal="center"/>
    </xf>
    <xf numFmtId="164" fontId="2" fillId="10" borderId="109" xfId="106" applyNumberFormat="1" applyFill="1" applyBorder="1" applyAlignment="1">
      <alignment horizontal="center"/>
    </xf>
    <xf numFmtId="0" fontId="2" fillId="11" borderId="109" xfId="106" applyFill="1" applyBorder="1"/>
    <xf numFmtId="0" fontId="2" fillId="11" borderId="109" xfId="106" applyFill="1" applyBorder="1" applyAlignment="1">
      <alignment horizontal="center"/>
    </xf>
    <xf numFmtId="164" fontId="2" fillId="11" borderId="109" xfId="106" applyNumberFormat="1" applyFill="1" applyBorder="1" applyAlignment="1">
      <alignment horizontal="center"/>
    </xf>
    <xf numFmtId="0" fontId="2" fillId="13" borderId="109" xfId="106" applyFill="1" applyBorder="1"/>
    <xf numFmtId="0" fontId="2" fillId="13" borderId="109" xfId="106" applyFill="1" applyBorder="1" applyAlignment="1">
      <alignment horizontal="center"/>
    </xf>
    <xf numFmtId="164" fontId="2" fillId="13" borderId="109" xfId="106" applyNumberFormat="1" applyFill="1" applyBorder="1" applyAlignment="1">
      <alignment horizontal="center"/>
    </xf>
    <xf numFmtId="0" fontId="2" fillId="15" borderId="109" xfId="106" applyFill="1" applyBorder="1" applyAlignment="1">
      <alignment wrapText="1"/>
    </xf>
    <xf numFmtId="0" fontId="2" fillId="15" borderId="109" xfId="106" applyFill="1" applyBorder="1" applyAlignment="1">
      <alignment horizontal="center"/>
    </xf>
    <xf numFmtId="164" fontId="2" fillId="15" borderId="109" xfId="106" applyNumberFormat="1" applyFill="1" applyBorder="1" applyAlignment="1">
      <alignment horizontal="center"/>
    </xf>
    <xf numFmtId="0" fontId="2" fillId="12" borderId="109" xfId="106" applyFill="1" applyBorder="1"/>
    <xf numFmtId="0" fontId="2" fillId="12" borderId="109" xfId="106" applyFill="1" applyBorder="1" applyAlignment="1">
      <alignment horizontal="center"/>
    </xf>
    <xf numFmtId="164" fontId="2" fillId="12" borderId="109" xfId="106" applyNumberFormat="1" applyFill="1" applyBorder="1" applyAlignment="1">
      <alignment horizontal="center"/>
    </xf>
    <xf numFmtId="0" fontId="19" fillId="14" borderId="109" xfId="106" applyFont="1" applyFill="1" applyBorder="1"/>
    <xf numFmtId="0" fontId="19" fillId="4" borderId="109" xfId="106" applyFont="1" applyFill="1" applyBorder="1"/>
    <xf numFmtId="0" fontId="19" fillId="4" borderId="109" xfId="106" applyFont="1" applyFill="1" applyBorder="1" applyAlignment="1">
      <alignment horizontal="center"/>
    </xf>
    <xf numFmtId="1" fontId="19" fillId="4" borderId="109" xfId="106" applyNumberFormat="1" applyFont="1" applyFill="1" applyBorder="1" applyAlignment="1">
      <alignment horizontal="center"/>
    </xf>
    <xf numFmtId="0" fontId="0" fillId="0" borderId="7" xfId="0" applyFill="1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  <xf numFmtId="0" fontId="8" fillId="0" borderId="49" xfId="0" applyFont="1" applyFill="1" applyBorder="1" applyAlignment="1">
      <alignment horizontal="center" vertical="center" wrapText="1"/>
    </xf>
    <xf numFmtId="0" fontId="0" fillId="0" borderId="50" xfId="0" applyFill="1" applyBorder="1" applyAlignment="1">
      <alignment horizontal="center" vertical="center" shrinkToFit="1"/>
    </xf>
    <xf numFmtId="0" fontId="0" fillId="0" borderId="51" xfId="0" applyFont="1" applyFill="1" applyBorder="1" applyAlignment="1">
      <alignment horizontal="center" vertical="center" shrinkToFit="1"/>
    </xf>
    <xf numFmtId="0" fontId="0" fillId="0" borderId="51" xfId="0" applyFill="1" applyBorder="1" applyAlignment="1">
      <alignment horizontal="center" vertical="center" shrinkToFit="1"/>
    </xf>
    <xf numFmtId="0" fontId="0" fillId="0" borderId="5" xfId="0" applyFont="1" applyFill="1" applyBorder="1" applyAlignment="1">
      <alignment horizontal="center" vertical="center" shrinkToFit="1"/>
    </xf>
    <xf numFmtId="0" fontId="0" fillId="0" borderId="14" xfId="0" applyFont="1" applyFill="1" applyBorder="1" applyAlignment="1">
      <alignment horizontal="center" vertical="center" shrinkToFit="1"/>
    </xf>
    <xf numFmtId="0" fontId="0" fillId="0" borderId="15" xfId="0" applyFont="1" applyFill="1" applyBorder="1" applyAlignment="1">
      <alignment horizontal="center" vertical="center" shrinkToFit="1"/>
    </xf>
    <xf numFmtId="49" fontId="28" fillId="0" borderId="27" xfId="0" applyNumberFormat="1" applyFont="1" applyBorder="1" applyAlignment="1"/>
    <xf numFmtId="0" fontId="4" fillId="17" borderId="103" xfId="0" applyFont="1" applyFill="1" applyBorder="1" applyAlignment="1">
      <alignment horizontal="center"/>
    </xf>
    <xf numFmtId="0" fontId="32" fillId="17" borderId="112" xfId="107" applyFont="1" applyFill="1" applyBorder="1" applyAlignment="1">
      <alignment horizontal="center" vertical="center"/>
    </xf>
    <xf numFmtId="0" fontId="33" fillId="17" borderId="112" xfId="107" applyFont="1" applyFill="1" applyBorder="1" applyAlignment="1">
      <alignment horizontal="center" vertical="center"/>
    </xf>
    <xf numFmtId="0" fontId="33" fillId="17" borderId="105" xfId="107" applyFont="1" applyFill="1" applyBorder="1" applyAlignment="1">
      <alignment horizontal="center" vertical="center"/>
    </xf>
    <xf numFmtId="0" fontId="0" fillId="0" borderId="66" xfId="0" applyBorder="1" applyAlignment="1">
      <alignment horizontal="center"/>
    </xf>
    <xf numFmtId="0" fontId="30" fillId="0" borderId="15" xfId="107" applyBorder="1" applyAlignment="1">
      <alignment horizontal="center" vertical="center"/>
    </xf>
    <xf numFmtId="0" fontId="34" fillId="0" borderId="15" xfId="107" applyFont="1" applyBorder="1" applyAlignment="1">
      <alignment vertical="center"/>
    </xf>
    <xf numFmtId="0" fontId="30" fillId="0" borderId="15" xfId="107" applyFill="1" applyBorder="1" applyAlignment="1">
      <alignment horizontal="center" vertical="center" wrapText="1"/>
    </xf>
    <xf numFmtId="0" fontId="30" fillId="0" borderId="15" xfId="107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30" fillId="0" borderId="1" xfId="107" applyFont="1" applyFill="1" applyBorder="1" applyAlignment="1">
      <alignment horizontal="center" vertical="center" wrapText="1"/>
    </xf>
    <xf numFmtId="0" fontId="30" fillId="0" borderId="1" xfId="107" applyFill="1" applyBorder="1" applyAlignment="1">
      <alignment horizontal="center" vertical="center" wrapText="1"/>
    </xf>
    <xf numFmtId="0" fontId="30" fillId="0" borderId="22" xfId="107" applyFont="1" applyFill="1" applyBorder="1" applyAlignment="1">
      <alignment horizontal="center" vertical="center" wrapText="1"/>
    </xf>
    <xf numFmtId="0" fontId="30" fillId="0" borderId="0" xfId="107" applyFill="1" applyBorder="1" applyAlignment="1">
      <alignment horizontal="center" vertical="center" wrapText="1"/>
    </xf>
    <xf numFmtId="0" fontId="30" fillId="0" borderId="40" xfId="107" applyBorder="1" applyAlignment="1">
      <alignment horizontal="center" vertical="center"/>
    </xf>
    <xf numFmtId="0" fontId="34" fillId="0" borderId="40" xfId="107" applyFont="1" applyBorder="1" applyAlignment="1">
      <alignment vertical="center"/>
    </xf>
    <xf numFmtId="0" fontId="30" fillId="0" borderId="40" xfId="107" applyFont="1" applyFill="1" applyBorder="1" applyAlignment="1">
      <alignment horizontal="center" vertical="center" wrapText="1"/>
    </xf>
    <xf numFmtId="0" fontId="30" fillId="0" borderId="24" xfId="107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/>
    </xf>
    <xf numFmtId="0" fontId="30" fillId="0" borderId="0" xfId="107" applyFont="1" applyFill="1" applyBorder="1" applyAlignment="1">
      <alignment horizontal="center" vertical="center" wrapText="1"/>
    </xf>
    <xf numFmtId="0" fontId="0" fillId="0" borderId="114" xfId="0" applyBorder="1" applyAlignment="1">
      <alignment horizontal="center"/>
    </xf>
    <xf numFmtId="0" fontId="30" fillId="0" borderId="115" xfId="107" applyFont="1" applyFill="1" applyBorder="1" applyAlignment="1">
      <alignment horizontal="center" vertical="center" wrapText="1"/>
    </xf>
    <xf numFmtId="0" fontId="30" fillId="0" borderId="116" xfId="107" applyFont="1" applyFill="1" applyBorder="1" applyAlignment="1">
      <alignment horizontal="center" vertical="center" wrapText="1"/>
    </xf>
    <xf numFmtId="0" fontId="0" fillId="0" borderId="39" xfId="0" applyBorder="1" applyAlignment="1">
      <alignment horizontal="center"/>
    </xf>
    <xf numFmtId="0" fontId="30" fillId="0" borderId="39" xfId="107" applyBorder="1" applyAlignment="1">
      <alignment horizontal="center" vertical="center"/>
    </xf>
    <xf numFmtId="0" fontId="34" fillId="0" borderId="39" xfId="107" applyFont="1" applyBorder="1" applyAlignment="1">
      <alignment vertical="center"/>
    </xf>
    <xf numFmtId="0" fontId="30" fillId="0" borderId="39" xfId="107" applyFont="1" applyFill="1" applyBorder="1" applyAlignment="1">
      <alignment horizontal="center" vertical="center" wrapText="1"/>
    </xf>
    <xf numFmtId="0" fontId="30" fillId="0" borderId="39" xfId="107" applyFill="1" applyBorder="1" applyAlignment="1">
      <alignment horizontal="center" vertical="center" wrapText="1"/>
    </xf>
    <xf numFmtId="0" fontId="39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30" fillId="0" borderId="67" xfId="107" applyFill="1" applyBorder="1" applyAlignment="1">
      <alignment horizontal="center" vertical="center" wrapText="1"/>
    </xf>
    <xf numFmtId="0" fontId="30" fillId="0" borderId="22" xfId="107" applyFill="1" applyBorder="1" applyAlignment="1">
      <alignment horizontal="center" vertical="center" wrapText="1"/>
    </xf>
    <xf numFmtId="0" fontId="30" fillId="0" borderId="20" xfId="107" applyFill="1" applyBorder="1" applyAlignment="1">
      <alignment horizontal="center" vertical="center" wrapText="1"/>
    </xf>
    <xf numFmtId="0" fontId="9" fillId="0" borderId="99" xfId="0" applyFont="1" applyBorder="1" applyAlignment="1">
      <alignment horizontal="center"/>
    </xf>
    <xf numFmtId="0" fontId="0" fillId="0" borderId="52" xfId="0" applyFont="1" applyFill="1" applyBorder="1" applyAlignment="1">
      <alignment horizontal="center" vertical="center" shrinkToFit="1"/>
    </xf>
    <xf numFmtId="0" fontId="0" fillId="0" borderId="34" xfId="0" applyFont="1" applyFill="1" applyBorder="1" applyAlignment="1">
      <alignment horizontal="center" vertical="center" shrinkToFit="1"/>
    </xf>
    <xf numFmtId="0" fontId="0" fillId="0" borderId="17" xfId="0" applyFont="1" applyFill="1" applyBorder="1" applyAlignment="1">
      <alignment horizontal="center" vertical="center" shrinkToFit="1"/>
    </xf>
    <xf numFmtId="0" fontId="16" fillId="0" borderId="15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8" fillId="0" borderId="101" xfId="0" applyFont="1" applyBorder="1" applyAlignment="1">
      <alignment horizontal="center" vertical="center" wrapText="1"/>
    </xf>
    <xf numFmtId="0" fontId="41" fillId="17" borderId="18" xfId="0" applyFont="1" applyFill="1" applyBorder="1" applyAlignment="1">
      <alignment horizontal="center" vertical="center" wrapText="1"/>
    </xf>
    <xf numFmtId="0" fontId="41" fillId="17" borderId="18" xfId="0" applyFont="1" applyFill="1" applyBorder="1" applyAlignment="1">
      <alignment horizontal="center" vertical="center"/>
    </xf>
    <xf numFmtId="0" fontId="41" fillId="17" borderId="18" xfId="0" applyFont="1" applyFill="1" applyBorder="1" applyAlignment="1">
      <alignment horizontal="center"/>
    </xf>
    <xf numFmtId="0" fontId="40" fillId="0" borderId="19" xfId="0" applyFont="1" applyBorder="1"/>
    <xf numFmtId="0" fontId="42" fillId="0" borderId="39" xfId="0" applyFont="1" applyBorder="1"/>
    <xf numFmtId="0" fontId="40" fillId="0" borderId="20" xfId="0" applyFont="1" applyBorder="1"/>
    <xf numFmtId="0" fontId="40" fillId="0" borderId="21" xfId="0" applyFont="1" applyBorder="1"/>
    <xf numFmtId="0" fontId="42" fillId="0" borderId="1" xfId="0" applyFont="1" applyBorder="1"/>
    <xf numFmtId="0" fontId="40" fillId="0" borderId="22" xfId="0" applyFont="1" applyBorder="1"/>
    <xf numFmtId="0" fontId="40" fillId="0" borderId="1" xfId="0" applyFont="1" applyBorder="1"/>
    <xf numFmtId="0" fontId="40" fillId="0" borderId="23" xfId="0" applyFont="1" applyBorder="1"/>
    <xf numFmtId="0" fontId="40" fillId="0" borderId="40" xfId="0" applyFont="1" applyBorder="1"/>
    <xf numFmtId="0" fontId="40" fillId="0" borderId="24" xfId="0" applyFont="1" applyBorder="1"/>
    <xf numFmtId="0" fontId="0" fillId="0" borderId="27" xfId="0" applyBorder="1" applyAlignment="1">
      <alignment horizontal="center" vertical="center"/>
    </xf>
    <xf numFmtId="0" fontId="0" fillId="0" borderId="120" xfId="0" applyBorder="1" applyAlignment="1">
      <alignment horizontal="center"/>
    </xf>
    <xf numFmtId="0" fontId="30" fillId="0" borderId="57" xfId="107" applyBorder="1" applyAlignment="1">
      <alignment horizontal="center" vertical="center"/>
    </xf>
    <xf numFmtId="0" fontId="34" fillId="0" borderId="57" xfId="107" applyFont="1" applyBorder="1" applyAlignment="1">
      <alignment vertical="center"/>
    </xf>
    <xf numFmtId="0" fontId="30" fillId="0" borderId="57" xfId="107" applyFont="1" applyFill="1" applyBorder="1" applyAlignment="1">
      <alignment horizontal="center" vertical="center" wrapText="1"/>
    </xf>
    <xf numFmtId="0" fontId="30" fillId="0" borderId="57" xfId="107" applyFill="1" applyBorder="1" applyAlignment="1">
      <alignment horizontal="center" vertical="center" wrapText="1"/>
    </xf>
    <xf numFmtId="0" fontId="30" fillId="0" borderId="58" xfId="107" applyFont="1" applyFill="1" applyBorder="1" applyAlignment="1">
      <alignment horizontal="center" vertical="center" wrapText="1"/>
    </xf>
    <xf numFmtId="0" fontId="30" fillId="0" borderId="1" xfId="107" applyBorder="1" applyAlignment="1">
      <alignment horizontal="center" vertical="center"/>
    </xf>
    <xf numFmtId="0" fontId="34" fillId="0" borderId="1" xfId="107" applyFont="1" applyBorder="1" applyAlignment="1">
      <alignment vertical="center"/>
    </xf>
    <xf numFmtId="0" fontId="0" fillId="0" borderId="121" xfId="0" applyBorder="1"/>
    <xf numFmtId="0" fontId="0" fillId="0" borderId="121" xfId="0" applyBorder="1" applyAlignment="1">
      <alignment horizontal="center" vertical="center"/>
    </xf>
    <xf numFmtId="0" fontId="0" fillId="0" borderId="75" xfId="0" applyBorder="1"/>
    <xf numFmtId="0" fontId="0" fillId="0" borderId="0" xfId="0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22" xfId="0" applyFont="1" applyFill="1" applyBorder="1" applyAlignment="1">
      <alignment horizontal="center" vertical="center"/>
    </xf>
    <xf numFmtId="0" fontId="0" fillId="0" borderId="120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7" xfId="0" applyFont="1" applyBorder="1" applyAlignment="1">
      <alignment horizontal="left" vertical="center"/>
    </xf>
    <xf numFmtId="0" fontId="0" fillId="0" borderId="58" xfId="0" applyFont="1" applyBorder="1" applyAlignment="1">
      <alignment horizontal="center" vertical="center"/>
    </xf>
    <xf numFmtId="0" fontId="0" fillId="0" borderId="130" xfId="0" applyBorder="1" applyAlignment="1">
      <alignment horizontal="center" vertical="center"/>
    </xf>
    <xf numFmtId="0" fontId="0" fillId="0" borderId="131" xfId="0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8" fillId="18" borderId="33" xfId="0" applyFont="1" applyFill="1" applyBorder="1" applyAlignment="1">
      <alignment horizontal="center" vertical="center" wrapText="1"/>
    </xf>
    <xf numFmtId="0" fontId="0" fillId="18" borderId="16" xfId="0" applyFont="1" applyFill="1" applyBorder="1" applyAlignment="1">
      <alignment horizontal="center" vertical="center" shrinkToFit="1"/>
    </xf>
    <xf numFmtId="0" fontId="0" fillId="18" borderId="5" xfId="0" applyFont="1" applyFill="1" applyBorder="1" applyAlignment="1">
      <alignment horizontal="center" vertical="center" shrinkToFit="1"/>
    </xf>
    <xf numFmtId="0" fontId="4" fillId="18" borderId="45" xfId="0" applyFont="1" applyFill="1" applyBorder="1" applyAlignment="1">
      <alignment horizontal="center" vertical="center"/>
    </xf>
    <xf numFmtId="0" fontId="8" fillId="18" borderId="42" xfId="0" applyFont="1" applyFill="1" applyBorder="1" applyAlignment="1">
      <alignment horizontal="center" vertical="center" wrapText="1"/>
    </xf>
    <xf numFmtId="0" fontId="0" fillId="18" borderId="7" xfId="0" applyFont="1" applyFill="1" applyBorder="1" applyAlignment="1">
      <alignment horizontal="center" vertical="center" shrinkToFit="1"/>
    </xf>
    <xf numFmtId="0" fontId="0" fillId="18" borderId="1" xfId="0" applyFont="1" applyFill="1" applyBorder="1" applyAlignment="1">
      <alignment horizontal="center" vertical="center" shrinkToFit="1"/>
    </xf>
    <xf numFmtId="0" fontId="0" fillId="18" borderId="1" xfId="0" applyFill="1" applyBorder="1" applyAlignment="1">
      <alignment horizontal="center" vertical="center" shrinkToFit="1"/>
    </xf>
    <xf numFmtId="0" fontId="4" fillId="18" borderId="54" xfId="0" applyFont="1" applyFill="1" applyBorder="1" applyAlignment="1">
      <alignment horizontal="center" vertical="center"/>
    </xf>
    <xf numFmtId="0" fontId="4" fillId="18" borderId="55" xfId="0" applyFont="1" applyFill="1" applyBorder="1" applyAlignment="1">
      <alignment horizontal="center" vertical="center"/>
    </xf>
    <xf numFmtId="0" fontId="8" fillId="18" borderId="49" xfId="0" applyFont="1" applyFill="1" applyBorder="1" applyAlignment="1">
      <alignment horizontal="center" vertical="center" wrapText="1"/>
    </xf>
    <xf numFmtId="0" fontId="0" fillId="18" borderId="50" xfId="0" applyFill="1" applyBorder="1" applyAlignment="1">
      <alignment horizontal="center" vertical="center" shrinkToFit="1"/>
    </xf>
    <xf numFmtId="0" fontId="0" fillId="18" borderId="51" xfId="0" applyFont="1" applyFill="1" applyBorder="1" applyAlignment="1">
      <alignment horizontal="center" vertical="center" shrinkToFit="1"/>
    </xf>
    <xf numFmtId="0" fontId="0" fillId="18" borderId="51" xfId="0" applyFill="1" applyBorder="1" applyAlignment="1">
      <alignment horizontal="center" vertical="center" shrinkToFit="1"/>
    </xf>
    <xf numFmtId="0" fontId="6" fillId="0" borderId="0" xfId="0" applyFont="1" applyBorder="1" applyAlignment="1">
      <alignment horizontal="right"/>
    </xf>
    <xf numFmtId="0" fontId="9" fillId="0" borderId="0" xfId="0" applyFont="1"/>
    <xf numFmtId="0" fontId="43" fillId="0" borderId="0" xfId="0" applyFont="1" applyAlignment="1">
      <alignment horizontal="left" indent="1"/>
    </xf>
    <xf numFmtId="0" fontId="0" fillId="2" borderId="2" xfId="0" applyFont="1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2" borderId="39" xfId="0" applyFont="1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5" fillId="2" borderId="39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/>
    </xf>
    <xf numFmtId="0" fontId="5" fillId="2" borderId="11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5" fillId="2" borderId="114" xfId="0" applyFont="1" applyFill="1" applyBorder="1" applyAlignment="1">
      <alignment horizontal="center" vertical="center" wrapText="1"/>
    </xf>
    <xf numFmtId="0" fontId="0" fillId="0" borderId="66" xfId="0" applyBorder="1" applyAlignment="1">
      <alignment horizontal="center" vertical="center"/>
    </xf>
    <xf numFmtId="0" fontId="4" fillId="0" borderId="36" xfId="0" applyFont="1" applyBorder="1" applyAlignment="1">
      <alignment horizontal="center" vertical="center" textRotation="255" shrinkToFit="1"/>
    </xf>
    <xf numFmtId="0" fontId="0" fillId="0" borderId="48" xfId="0" applyBorder="1" applyAlignment="1">
      <alignment horizontal="center" vertical="center" textRotation="255" shrinkToFit="1"/>
    </xf>
    <xf numFmtId="0" fontId="0" fillId="0" borderId="12" xfId="0" applyBorder="1" applyAlignment="1">
      <alignment horizontal="center" vertical="center" textRotation="255" shrinkToFit="1"/>
    </xf>
    <xf numFmtId="0" fontId="4" fillId="18" borderId="36" xfId="0" applyFont="1" applyFill="1" applyBorder="1" applyAlignment="1">
      <alignment horizontal="center" vertical="center" textRotation="255" shrinkToFit="1"/>
    </xf>
    <xf numFmtId="0" fontId="0" fillId="18" borderId="48" xfId="0" applyFill="1" applyBorder="1" applyAlignment="1">
      <alignment horizontal="center" vertical="center" textRotation="255" shrinkToFit="1"/>
    </xf>
    <xf numFmtId="0" fontId="0" fillId="18" borderId="12" xfId="0" applyFill="1" applyBorder="1" applyAlignment="1">
      <alignment horizontal="center" vertical="center" textRotation="255" shrinkToFit="1"/>
    </xf>
    <xf numFmtId="0" fontId="4" fillId="0" borderId="48" xfId="0" applyFont="1" applyBorder="1" applyAlignment="1">
      <alignment horizontal="center" vertical="center" textRotation="255" shrinkToFit="1"/>
    </xf>
    <xf numFmtId="0" fontId="6" fillId="0" borderId="117" xfId="0" applyFont="1" applyBorder="1" applyAlignment="1">
      <alignment horizontal="center"/>
    </xf>
    <xf numFmtId="0" fontId="6" fillId="0" borderId="118" xfId="0" applyFont="1" applyBorder="1" applyAlignment="1">
      <alignment horizontal="center"/>
    </xf>
    <xf numFmtId="0" fontId="6" fillId="0" borderId="119" xfId="0" applyFont="1" applyBorder="1" applyAlignment="1">
      <alignment horizontal="center"/>
    </xf>
    <xf numFmtId="0" fontId="4" fillId="2" borderId="123" xfId="0" applyFont="1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2" borderId="129" xfId="0" applyFont="1" applyFill="1" applyBorder="1" applyAlignment="1">
      <alignment horizontal="center" vertical="center"/>
    </xf>
    <xf numFmtId="0" fontId="0" fillId="0" borderId="14" xfId="0" applyFont="1" applyBorder="1" applyAlignment="1"/>
    <xf numFmtId="0" fontId="0" fillId="2" borderId="127" xfId="0" applyFont="1" applyFill="1" applyBorder="1" applyAlignment="1">
      <alignment horizontal="center" vertical="center"/>
    </xf>
    <xf numFmtId="0" fontId="0" fillId="0" borderId="60" xfId="0" applyBorder="1" applyAlignment="1"/>
    <xf numFmtId="0" fontId="0" fillId="2" borderId="122" xfId="0" applyFont="1" applyFill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2" borderId="59" xfId="0" applyFont="1" applyFill="1" applyBorder="1" applyAlignment="1">
      <alignment horizontal="center" vertical="center"/>
    </xf>
    <xf numFmtId="0" fontId="0" fillId="0" borderId="128" xfId="0" applyBorder="1" applyAlignment="1"/>
    <xf numFmtId="0" fontId="0" fillId="2" borderId="115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2" borderId="125" xfId="0" applyFont="1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26" xfId="0" applyFont="1" applyBorder="1" applyAlignment="1">
      <alignment horizontal="center" vertical="center"/>
    </xf>
    <xf numFmtId="0" fontId="0" fillId="2" borderId="114" xfId="0" applyFont="1" applyFill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4" fillId="2" borderId="36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/>
    </xf>
    <xf numFmtId="0" fontId="0" fillId="2" borderId="2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2" borderId="26" xfId="0" applyFont="1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 textRotation="255" shrinkToFit="1"/>
    </xf>
    <xf numFmtId="0" fontId="4" fillId="0" borderId="12" xfId="0" applyFont="1" applyBorder="1" applyAlignment="1">
      <alignment horizontal="center" vertical="center" textRotation="255" shrinkToFit="1"/>
    </xf>
    <xf numFmtId="0" fontId="29" fillId="16" borderId="25" xfId="0" applyFont="1" applyFill="1" applyBorder="1" applyAlignment="1">
      <alignment horizontal="center" vertical="center" textRotation="90"/>
    </xf>
    <xf numFmtId="0" fontId="29" fillId="16" borderId="19" xfId="0" applyFont="1" applyFill="1" applyBorder="1" applyAlignment="1">
      <alignment horizontal="center" vertical="center" textRotation="90"/>
    </xf>
    <xf numFmtId="0" fontId="29" fillId="16" borderId="21" xfId="0" applyFont="1" applyFill="1" applyBorder="1" applyAlignment="1">
      <alignment horizontal="center" vertical="center" textRotation="90"/>
    </xf>
    <xf numFmtId="0" fontId="29" fillId="16" borderId="23" xfId="0" applyFont="1" applyFill="1" applyBorder="1" applyAlignment="1">
      <alignment horizontal="center" vertical="center" textRotation="90"/>
    </xf>
    <xf numFmtId="0" fontId="39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9" xfId="0" applyBorder="1" applyAlignment="1"/>
    <xf numFmtId="0" fontId="9" fillId="0" borderId="27" xfId="0" applyFont="1" applyBorder="1" applyAlignment="1">
      <alignment horizontal="center"/>
    </xf>
    <xf numFmtId="0" fontId="29" fillId="16" borderId="62" xfId="0" applyFont="1" applyFill="1" applyBorder="1" applyAlignment="1">
      <alignment horizontal="center" vertical="center" textRotation="90"/>
    </xf>
    <xf numFmtId="0" fontId="29" fillId="16" borderId="38" xfId="0" applyFont="1" applyFill="1" applyBorder="1" applyAlignment="1">
      <alignment horizontal="center" vertical="center" textRotation="90"/>
    </xf>
    <xf numFmtId="0" fontId="31" fillId="17" borderId="112" xfId="107" applyFont="1" applyFill="1" applyBorder="1" applyAlignment="1">
      <alignment horizontal="center" vertical="center"/>
    </xf>
    <xf numFmtId="0" fontId="31" fillId="17" borderId="113" xfId="107" applyFont="1" applyFill="1" applyBorder="1" applyAlignment="1">
      <alignment horizontal="center" vertical="center"/>
    </xf>
    <xf numFmtId="0" fontId="3" fillId="0" borderId="0" xfId="5" applyAlignment="1">
      <alignment horizontal="center" vertical="center"/>
    </xf>
    <xf numFmtId="0" fontId="3" fillId="0" borderId="0" xfId="5" applyAlignment="1">
      <alignment horizontal="center" vertical="center" textRotation="90" wrapText="1"/>
    </xf>
    <xf numFmtId="0" fontId="3" fillId="0" borderId="62" xfId="5" applyBorder="1" applyAlignment="1">
      <alignment horizontal="center" vertical="center" textRotation="90" wrapText="1"/>
    </xf>
    <xf numFmtId="0" fontId="3" fillId="0" borderId="25" xfId="5" applyBorder="1" applyAlignment="1">
      <alignment horizontal="center" vertical="center" textRotation="90" wrapText="1"/>
    </xf>
    <xf numFmtId="0" fontId="3" fillId="0" borderId="38" xfId="5" applyBorder="1" applyAlignment="1">
      <alignment horizontal="center" vertical="center" textRotation="90" wrapText="1"/>
    </xf>
    <xf numFmtId="0" fontId="3" fillId="0" borderId="19" xfId="5" applyBorder="1" applyAlignment="1">
      <alignment horizontal="center" vertical="center"/>
    </xf>
    <xf numFmtId="0" fontId="3" fillId="0" borderId="39" xfId="5" applyBorder="1" applyAlignment="1">
      <alignment horizontal="center" vertical="center"/>
    </xf>
    <xf numFmtId="0" fontId="3" fillId="0" borderId="20" xfId="5" applyBorder="1" applyAlignment="1">
      <alignment horizontal="center" vertical="center"/>
    </xf>
    <xf numFmtId="0" fontId="3" fillId="0" borderId="2" xfId="5" applyBorder="1" applyAlignment="1">
      <alignment horizontal="center" vertical="center"/>
    </xf>
    <xf numFmtId="0" fontId="3" fillId="0" borderId="69" xfId="5" applyBorder="1" applyAlignment="1">
      <alignment horizontal="center" vertical="center"/>
    </xf>
    <xf numFmtId="0" fontId="3" fillId="0" borderId="7" xfId="5" applyBorder="1" applyAlignment="1">
      <alignment horizontal="center" vertical="center"/>
    </xf>
    <xf numFmtId="0" fontId="3" fillId="0" borderId="71" xfId="5" applyBorder="1" applyAlignment="1">
      <alignment horizontal="center" vertical="center"/>
    </xf>
    <xf numFmtId="0" fontId="1" fillId="0" borderId="0" xfId="5" applyFont="1" applyAlignment="1">
      <alignment horizontal="center" vertical="center" textRotation="90" wrapText="1"/>
    </xf>
    <xf numFmtId="0" fontId="3" fillId="0" borderId="63" xfId="5" applyBorder="1" applyAlignment="1">
      <alignment horizontal="center" vertical="center"/>
    </xf>
    <xf numFmtId="0" fontId="3" fillId="0" borderId="64" xfId="5" applyBorder="1" applyAlignment="1">
      <alignment horizontal="center" vertical="center"/>
    </xf>
    <xf numFmtId="0" fontId="3" fillId="0" borderId="65" xfId="5" applyBorder="1" applyAlignment="1">
      <alignment horizontal="center" vertical="center"/>
    </xf>
    <xf numFmtId="0" fontId="3" fillId="0" borderId="66" xfId="5" applyBorder="1" applyAlignment="1">
      <alignment horizontal="center" vertical="center"/>
    </xf>
    <xf numFmtId="0" fontId="3" fillId="0" borderId="15" xfId="5" applyBorder="1" applyAlignment="1">
      <alignment horizontal="center" vertical="center"/>
    </xf>
    <xf numFmtId="0" fontId="3" fillId="0" borderId="14" xfId="5" applyBorder="1" applyAlignment="1">
      <alignment horizontal="center" vertical="center"/>
    </xf>
    <xf numFmtId="0" fontId="3" fillId="0" borderId="67" xfId="5" applyBorder="1" applyAlignment="1">
      <alignment horizontal="center" vertical="center"/>
    </xf>
    <xf numFmtId="0" fontId="3" fillId="0" borderId="68" xfId="5" applyBorder="1" applyAlignment="1">
      <alignment horizontal="center" vertical="center"/>
    </xf>
    <xf numFmtId="0" fontId="3" fillId="0" borderId="70" xfId="5" applyBorder="1" applyAlignment="1">
      <alignment horizontal="center" vertical="center"/>
    </xf>
    <xf numFmtId="0" fontId="3" fillId="0" borderId="32" xfId="5" applyBorder="1" applyAlignment="1">
      <alignment horizontal="center" vertical="center"/>
    </xf>
    <xf numFmtId="0" fontId="27" fillId="14" borderId="109" xfId="106" applyFont="1" applyFill="1" applyBorder="1" applyAlignment="1">
      <alignment horizontal="center" vertical="center"/>
    </xf>
    <xf numFmtId="0" fontId="19" fillId="14" borderId="109" xfId="106" applyFont="1" applyFill="1" applyBorder="1" applyAlignment="1">
      <alignment horizontal="center" vertical="center"/>
    </xf>
    <xf numFmtId="0" fontId="26" fillId="4" borderId="106" xfId="106" applyFont="1" applyFill="1" applyBorder="1" applyAlignment="1">
      <alignment horizontal="center" vertical="center"/>
    </xf>
    <xf numFmtId="0" fontId="26" fillId="4" borderId="107" xfId="106" applyFont="1" applyFill="1" applyBorder="1" applyAlignment="1">
      <alignment horizontal="center" vertical="center"/>
    </xf>
    <xf numFmtId="0" fontId="26" fillId="4" borderId="108" xfId="106" applyFont="1" applyFill="1" applyBorder="1" applyAlignment="1">
      <alignment horizontal="center" vertical="center"/>
    </xf>
    <xf numFmtId="0" fontId="9" fillId="4" borderId="109" xfId="106" applyFont="1" applyFill="1" applyBorder="1" applyAlignment="1">
      <alignment horizontal="center" vertical="center" wrapText="1"/>
    </xf>
    <xf numFmtId="0" fontId="2" fillId="4" borderId="109" xfId="106" applyFont="1" applyFill="1" applyBorder="1" applyAlignment="1">
      <alignment horizontal="center" vertical="center"/>
    </xf>
    <xf numFmtId="0" fontId="20" fillId="0" borderId="0" xfId="106" applyFont="1" applyAlignment="1">
      <alignment horizontal="center" vertical="center"/>
    </xf>
    <xf numFmtId="0" fontId="2" fillId="0" borderId="0" xfId="106" applyFont="1" applyAlignment="1">
      <alignment horizontal="center" vertical="center"/>
    </xf>
    <xf numFmtId="0" fontId="2" fillId="0" borderId="47" xfId="106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2" fillId="5" borderId="47" xfId="106" applyFill="1" applyBorder="1" applyAlignment="1">
      <alignment horizontal="center" vertical="center"/>
    </xf>
    <xf numFmtId="0" fontId="2" fillId="5" borderId="99" xfId="106" applyFill="1" applyBorder="1" applyAlignment="1">
      <alignment horizontal="center" vertical="center"/>
    </xf>
    <xf numFmtId="0" fontId="0" fillId="5" borderId="99" xfId="0" applyFill="1" applyBorder="1" applyAlignment="1"/>
    <xf numFmtId="0" fontId="0" fillId="5" borderId="100" xfId="0" applyFill="1" applyBorder="1" applyAlignment="1"/>
    <xf numFmtId="0" fontId="2" fillId="6" borderId="47" xfId="106" applyFill="1" applyBorder="1" applyAlignment="1">
      <alignment horizontal="center" vertical="center"/>
    </xf>
    <xf numFmtId="0" fontId="0" fillId="0" borderId="100" xfId="0" applyBorder="1" applyAlignment="1"/>
    <xf numFmtId="0" fontId="2" fillId="7" borderId="47" xfId="106" applyFill="1" applyBorder="1" applyAlignment="1">
      <alignment horizontal="center" vertical="center"/>
    </xf>
    <xf numFmtId="0" fontId="2" fillId="8" borderId="47" xfId="106" applyFill="1" applyBorder="1" applyAlignment="1">
      <alignment horizontal="center" vertical="center"/>
    </xf>
    <xf numFmtId="0" fontId="15" fillId="0" borderId="47" xfId="106" applyFont="1" applyBorder="1" applyAlignment="1">
      <alignment horizontal="center" vertical="center"/>
    </xf>
    <xf numFmtId="0" fontId="15" fillId="0" borderId="99" xfId="106" applyFont="1" applyBorder="1" applyAlignment="1">
      <alignment horizontal="center" vertical="center"/>
    </xf>
    <xf numFmtId="0" fontId="15" fillId="0" borderId="100" xfId="106" applyFont="1" applyBorder="1" applyAlignment="1">
      <alignment horizontal="center" vertical="center"/>
    </xf>
    <xf numFmtId="0" fontId="15" fillId="6" borderId="19" xfId="106" applyFont="1" applyFill="1" applyBorder="1" applyAlignment="1">
      <alignment horizontal="center" vertical="center"/>
    </xf>
    <xf numFmtId="0" fontId="15" fillId="6" borderId="39" xfId="106" applyFont="1" applyFill="1" applyBorder="1" applyAlignment="1">
      <alignment horizontal="center" vertical="center"/>
    </xf>
    <xf numFmtId="0" fontId="15" fillId="6" borderId="20" xfId="106" applyFont="1" applyFill="1" applyBorder="1" applyAlignment="1">
      <alignment horizontal="center" vertical="center"/>
    </xf>
    <xf numFmtId="0" fontId="15" fillId="7" borderId="19" xfId="106" applyFont="1" applyFill="1" applyBorder="1" applyAlignment="1">
      <alignment horizontal="center" vertical="center"/>
    </xf>
    <xf numFmtId="0" fontId="15" fillId="7" borderId="39" xfId="106" applyFont="1" applyFill="1" applyBorder="1" applyAlignment="1">
      <alignment horizontal="center" vertical="center"/>
    </xf>
    <xf numFmtId="0" fontId="15" fillId="7" borderId="20" xfId="106" applyFont="1" applyFill="1" applyBorder="1" applyAlignment="1">
      <alignment horizontal="center" vertical="center"/>
    </xf>
    <xf numFmtId="0" fontId="15" fillId="8" borderId="19" xfId="106" applyFont="1" applyFill="1" applyBorder="1" applyAlignment="1">
      <alignment horizontal="center" vertical="center"/>
    </xf>
    <xf numFmtId="0" fontId="15" fillId="8" borderId="39" xfId="106" applyFont="1" applyFill="1" applyBorder="1" applyAlignment="1">
      <alignment horizontal="center" vertical="center"/>
    </xf>
    <xf numFmtId="0" fontId="15" fillId="8" borderId="20" xfId="106" applyFont="1" applyFill="1" applyBorder="1" applyAlignment="1">
      <alignment horizontal="center" vertical="center"/>
    </xf>
    <xf numFmtId="0" fontId="23" fillId="6" borderId="47" xfId="106" applyFont="1" applyFill="1" applyBorder="1" applyAlignment="1">
      <alignment horizontal="center" vertical="center"/>
    </xf>
    <xf numFmtId="0" fontId="23" fillId="6" borderId="99" xfId="0" applyFont="1" applyFill="1" applyBorder="1" applyAlignment="1">
      <alignment horizontal="center" vertical="center"/>
    </xf>
    <xf numFmtId="0" fontId="23" fillId="6" borderId="100" xfId="0" applyFont="1" applyFill="1" applyBorder="1" applyAlignment="1">
      <alignment horizontal="center" vertical="center"/>
    </xf>
    <xf numFmtId="0" fontId="23" fillId="7" borderId="47" xfId="106" applyFont="1" applyFill="1" applyBorder="1" applyAlignment="1">
      <alignment horizontal="center" vertical="center"/>
    </xf>
    <xf numFmtId="0" fontId="23" fillId="7" borderId="99" xfId="0" applyFont="1" applyFill="1" applyBorder="1" applyAlignment="1">
      <alignment horizontal="center" vertical="center"/>
    </xf>
    <xf numFmtId="0" fontId="23" fillId="7" borderId="100" xfId="0" applyFont="1" applyFill="1" applyBorder="1" applyAlignment="1">
      <alignment horizontal="center" vertical="center"/>
    </xf>
    <xf numFmtId="0" fontId="23" fillId="8" borderId="47" xfId="106" applyFont="1" applyFill="1" applyBorder="1" applyAlignment="1">
      <alignment horizontal="center" vertical="center"/>
    </xf>
    <xf numFmtId="0" fontId="23" fillId="8" borderId="99" xfId="0" applyFont="1" applyFill="1" applyBorder="1" applyAlignment="1">
      <alignment horizontal="center" vertical="center"/>
    </xf>
    <xf numFmtId="0" fontId="23" fillId="8" borderId="100" xfId="0" applyFont="1" applyFill="1" applyBorder="1" applyAlignment="1">
      <alignment horizontal="center" vertical="center"/>
    </xf>
    <xf numFmtId="0" fontId="24" fillId="0" borderId="47" xfId="106" applyFont="1" applyBorder="1" applyAlignment="1"/>
    <xf numFmtId="0" fontId="25" fillId="0" borderId="18" xfId="106" applyFont="1" applyBorder="1" applyAlignment="1">
      <alignment horizontal="left"/>
    </xf>
    <xf numFmtId="0" fontId="25" fillId="0" borderId="18" xfId="0" applyFont="1" applyBorder="1" applyAlignment="1">
      <alignment horizontal="left"/>
    </xf>
    <xf numFmtId="0" fontId="25" fillId="0" borderId="18" xfId="106" applyFont="1" applyBorder="1" applyAlignment="1"/>
    <xf numFmtId="0" fontId="25" fillId="0" borderId="18" xfId="0" applyFont="1" applyBorder="1" applyAlignment="1"/>
    <xf numFmtId="0" fontId="2" fillId="4" borderId="109" xfId="106" applyFill="1" applyBorder="1" applyAlignment="1">
      <alignment horizontal="center" vertical="center" wrapText="1"/>
    </xf>
    <xf numFmtId="0" fontId="26" fillId="4" borderId="110" xfId="106" applyFont="1" applyFill="1" applyBorder="1" applyAlignment="1">
      <alignment horizontal="center" vertical="center"/>
    </xf>
    <xf numFmtId="0" fontId="26" fillId="4" borderId="111" xfId="106" applyFont="1" applyFill="1" applyBorder="1" applyAlignment="1">
      <alignment horizontal="center" vertical="center"/>
    </xf>
    <xf numFmtId="0" fontId="2" fillId="0" borderId="111" xfId="106" applyBorder="1" applyAlignment="1">
      <alignment horizontal="center" vertical="center"/>
    </xf>
    <xf numFmtId="0" fontId="2" fillId="4" borderId="109" xfId="106" applyFill="1" applyBorder="1" applyAlignment="1">
      <alignment horizontal="center" vertical="center"/>
    </xf>
    <xf numFmtId="0" fontId="19" fillId="4" borderId="109" xfId="106" applyFont="1" applyFill="1" applyBorder="1" applyAlignment="1">
      <alignment horizontal="right"/>
    </xf>
    <xf numFmtId="0" fontId="0" fillId="3" borderId="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0" fontId="0" fillId="0" borderId="132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11" fillId="0" borderId="36" xfId="0" applyFont="1" applyBorder="1"/>
    <xf numFmtId="0" fontId="6" fillId="0" borderId="3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</cellXfs>
  <cellStyles count="108">
    <cellStyle name="Hipervínculo" xfId="1" builtinId="8" hidden="1"/>
    <cellStyle name="Hipervínculo" xfId="3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" xfId="12" builtinId="8" hidden="1"/>
    <cellStyle name="Hipervínculo" xfId="14" builtinId="8" hidden="1"/>
    <cellStyle name="Hipervínculo" xfId="16" builtinId="8" hidden="1"/>
    <cellStyle name="Hipervínculo" xfId="18" builtinId="8" hidden="1"/>
    <cellStyle name="Hipervínculo" xfId="20" builtinId="8" hidden="1"/>
    <cellStyle name="Hipervínculo" xfId="22" builtinId="8" hidden="1"/>
    <cellStyle name="Hipervínculo" xfId="24" builtinId="8" hidden="1"/>
    <cellStyle name="Hipervínculo" xfId="26" builtinId="8" hidden="1"/>
    <cellStyle name="Hipervínculo" xfId="28" builtinId="8" hidden="1"/>
    <cellStyle name="Hipervínculo" xfId="30" builtinId="8" hidden="1"/>
    <cellStyle name="Hipervínculo" xfId="32" builtinId="8" hidden="1"/>
    <cellStyle name="Hipervínculo" xfId="34" builtinId="8" hidden="1"/>
    <cellStyle name="Hipervínculo" xfId="36" builtinId="8" hidden="1"/>
    <cellStyle name="Hipervínculo" xfId="38" builtinId="8" hidden="1"/>
    <cellStyle name="Hipervínculo" xfId="40" builtinId="8" hidden="1"/>
    <cellStyle name="Hipervínculo" xfId="42" builtinId="8" hidden="1"/>
    <cellStyle name="Hipervínculo" xfId="44" builtinId="8" hidden="1"/>
    <cellStyle name="Hipervínculo" xfId="46" builtinId="8" hidden="1"/>
    <cellStyle name="Hipervínculo" xfId="48" builtinId="8" hidden="1"/>
    <cellStyle name="Hipervínculo" xfId="50" builtinId="8" hidden="1"/>
    <cellStyle name="Hipervínculo" xfId="52" builtinId="8" hidden="1"/>
    <cellStyle name="Hipervínculo" xfId="54" builtinId="8" hidden="1"/>
    <cellStyle name="Hipervínculo" xfId="56" builtinId="8" hidden="1"/>
    <cellStyle name="Hipervínculo" xfId="58" builtinId="8" hidden="1"/>
    <cellStyle name="Hipervínculo" xfId="60" builtinId="8" hidden="1"/>
    <cellStyle name="Hipervínculo" xfId="62" builtinId="8" hidden="1"/>
    <cellStyle name="Hipervínculo" xfId="64" builtinId="8" hidden="1"/>
    <cellStyle name="Hipervínculo" xfId="66" builtinId="8" hidden="1"/>
    <cellStyle name="Hipervínculo" xfId="68" builtinId="8" hidden="1"/>
    <cellStyle name="Hipervínculo" xfId="70" builtinId="8" hidden="1"/>
    <cellStyle name="Hipervínculo" xfId="72" builtinId="8" hidden="1"/>
    <cellStyle name="Hipervínculo" xfId="74" builtinId="8" hidden="1"/>
    <cellStyle name="Hipervínculo" xfId="76" builtinId="8" hidden="1"/>
    <cellStyle name="Hipervínculo" xfId="78" builtinId="8" hidden="1"/>
    <cellStyle name="Hipervínculo" xfId="80" builtinId="8" hidden="1"/>
    <cellStyle name="Hipervínculo" xfId="82" builtinId="8" hidden="1"/>
    <cellStyle name="Hipervínculo" xfId="84" builtinId="8" hidden="1"/>
    <cellStyle name="Hipervínculo" xfId="86" builtinId="8" hidden="1"/>
    <cellStyle name="Hipervínculo" xfId="88" builtinId="8" hidden="1"/>
    <cellStyle name="Hipervínculo" xfId="90" builtinId="8" hidden="1"/>
    <cellStyle name="Hipervínculo" xfId="92" builtinId="8" hidden="1"/>
    <cellStyle name="Hipervínculo" xfId="94" builtinId="8" hidden="1"/>
    <cellStyle name="Hipervínculo" xfId="96" builtinId="8" hidden="1"/>
    <cellStyle name="Hipervínculo" xfId="98" builtinId="8" hidden="1"/>
    <cellStyle name="Hipervínculo" xfId="100" builtinId="8" hidden="1"/>
    <cellStyle name="Hipervínculo" xfId="102" builtinId="8" hidden="1"/>
    <cellStyle name="Hipervínculo" xfId="104" builtinId="8" hidden="1"/>
    <cellStyle name="Hipervínculo visitado" xfId="2" builtinId="9" hidden="1"/>
    <cellStyle name="Hipervínculo visitado" xfId="4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Hipervínculo visitado" xfId="13" builtinId="9" hidden="1"/>
    <cellStyle name="Hipervínculo visitado" xfId="15" builtinId="9" hidden="1"/>
    <cellStyle name="Hipervínculo visitado" xfId="17" builtinId="9" hidden="1"/>
    <cellStyle name="Hipervínculo visitado" xfId="19" builtinId="9" hidden="1"/>
    <cellStyle name="Hipervínculo visitado" xfId="21" builtinId="9" hidden="1"/>
    <cellStyle name="Hipervínculo visitado" xfId="23" builtinId="9" hidden="1"/>
    <cellStyle name="Hipervínculo visitado" xfId="25" builtinId="9" hidden="1"/>
    <cellStyle name="Hipervínculo visitado" xfId="27" builtinId="9" hidden="1"/>
    <cellStyle name="Hipervínculo visitado" xfId="29" builtinId="9" hidden="1"/>
    <cellStyle name="Hipervínculo visitado" xfId="31" builtinId="9" hidden="1"/>
    <cellStyle name="Hipervínculo visitado" xfId="33" builtinId="9" hidden="1"/>
    <cellStyle name="Hipervínculo visitado" xfId="35" builtinId="9" hidden="1"/>
    <cellStyle name="Hipervínculo visitado" xfId="37" builtinId="9" hidden="1"/>
    <cellStyle name="Hipervínculo visitado" xfId="39" builtinId="9" hidden="1"/>
    <cellStyle name="Hipervínculo visitado" xfId="41" builtinId="9" hidden="1"/>
    <cellStyle name="Hipervínculo visitado" xfId="43" builtinId="9" hidden="1"/>
    <cellStyle name="Hipervínculo visitado" xfId="45" builtinId="9" hidden="1"/>
    <cellStyle name="Hipervínculo visitado" xfId="47" builtinId="9" hidden="1"/>
    <cellStyle name="Hipervínculo visitado" xfId="49" builtinId="9" hidden="1"/>
    <cellStyle name="Hipervínculo visitado" xfId="51" builtinId="9" hidden="1"/>
    <cellStyle name="Hipervínculo visitado" xfId="53" builtinId="9" hidden="1"/>
    <cellStyle name="Hipervínculo visitado" xfId="55" builtinId="9" hidden="1"/>
    <cellStyle name="Hipervínculo visitado" xfId="57" builtinId="9" hidden="1"/>
    <cellStyle name="Hipervínculo visitado" xfId="59" builtinId="9" hidden="1"/>
    <cellStyle name="Hipervínculo visitado" xfId="61" builtinId="9" hidden="1"/>
    <cellStyle name="Hipervínculo visitado" xfId="63" builtinId="9" hidden="1"/>
    <cellStyle name="Hipervínculo visitado" xfId="65" builtinId="9" hidden="1"/>
    <cellStyle name="Hipervínculo visitado" xfId="67" builtinId="9" hidden="1"/>
    <cellStyle name="Hipervínculo visitado" xfId="69" builtinId="9" hidden="1"/>
    <cellStyle name="Hipervínculo visitado" xfId="71" builtinId="9" hidden="1"/>
    <cellStyle name="Hipervínculo visitado" xfId="73" builtinId="9" hidden="1"/>
    <cellStyle name="Hipervínculo visitado" xfId="75" builtinId="9" hidden="1"/>
    <cellStyle name="Hipervínculo visitado" xfId="77" builtinId="9" hidden="1"/>
    <cellStyle name="Hipervínculo visitado" xfId="79" builtinId="9" hidden="1"/>
    <cellStyle name="Hipervínculo visitado" xfId="81" builtinId="9" hidden="1"/>
    <cellStyle name="Hipervínculo visitado" xfId="83" builtinId="9" hidden="1"/>
    <cellStyle name="Hipervínculo visitado" xfId="85" builtinId="9" hidden="1"/>
    <cellStyle name="Hipervínculo visitado" xfId="87" builtinId="9" hidden="1"/>
    <cellStyle name="Hipervínculo visitado" xfId="89" builtinId="9" hidden="1"/>
    <cellStyle name="Hipervínculo visitado" xfId="91" builtinId="9" hidden="1"/>
    <cellStyle name="Hipervínculo visitado" xfId="93" builtinId="9" hidden="1"/>
    <cellStyle name="Hipervínculo visitado" xfId="95" builtinId="9" hidden="1"/>
    <cellStyle name="Hipervínculo visitado" xfId="97" builtinId="9" hidden="1"/>
    <cellStyle name="Hipervínculo visitado" xfId="99" builtinId="9" hidden="1"/>
    <cellStyle name="Hipervínculo visitado" xfId="101" builtinId="9" hidden="1"/>
    <cellStyle name="Hipervínculo visitado" xfId="103" builtinId="9" hidden="1"/>
    <cellStyle name="Hipervínculo visitado" xfId="105" builtinId="9" hidden="1"/>
    <cellStyle name="Normal" xfId="0" builtinId="0"/>
    <cellStyle name="Normal 2" xfId="5" xr:uid="{00000000-0005-0000-0000-000069000000}"/>
    <cellStyle name="Normal 2 2" xfId="106" xr:uid="{00000000-0005-0000-0000-00006A000000}"/>
    <cellStyle name="Normal 2 2 2" xfId="107" xr:uid="{6A4318BC-5332-41B3-91D9-11BA27B38718}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theme="0" tint="-0.1499679555650502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9C0006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theme="0" tint="-0.1499679555650502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Ma.Angelica/Desktop/ZONA%2008/CICLO%202015-2016/ESCUELAS/ESTRUCTURA%20CURRICULAR/ESCUELAS/E.S.T.%2064%20ESTRUCTURA%20CURRICUL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will/est64/Horarios%20-%2018-19/2018-07-15%20-%20Horario%20-%20EST%2064%20-%2017-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.S.T. N° 64"/>
      <sheetName val="Docentes"/>
      <sheetName val="E.S.T. N° 64 (2)"/>
    </sheetNames>
    <sheetDataSet>
      <sheetData sheetId="0"/>
      <sheetData sheetId="1">
        <row r="3">
          <cell r="B3" t="str">
            <v>ADRIANA ARCINIEGA SANDOVAL</v>
          </cell>
        </row>
        <row r="4">
          <cell r="B4" t="str">
            <v>AGUSTÍN GÓMEZ ACEVES</v>
          </cell>
        </row>
        <row r="5">
          <cell r="B5" t="str">
            <v>ANA KAREM OROZCO ALEGRE</v>
          </cell>
        </row>
        <row r="6">
          <cell r="B6" t="str">
            <v>ANA LILIA IBARRA CHÁVEZ</v>
          </cell>
        </row>
        <row r="7">
          <cell r="B7" t="str">
            <v>ANTONIO DE JESÚS TORRES MORENO</v>
          </cell>
        </row>
        <row r="8">
          <cell r="B8" t="str">
            <v>EDGAR SINUE GARCÍA OLVERA</v>
          </cell>
        </row>
        <row r="9">
          <cell r="B9" t="str">
            <v>GEMA GUADALUPE REYNA SANABIA</v>
          </cell>
        </row>
        <row r="10">
          <cell r="B10" t="str">
            <v>GERARDO CASTILLO SALAZAR</v>
          </cell>
        </row>
        <row r="11">
          <cell r="B11" t="str">
            <v>HÉCTOR JAVIER MACÍAS FRANCO</v>
          </cell>
        </row>
        <row r="12">
          <cell r="B12" t="str">
            <v>IRVING RAMÓN SÁNCHEZ JIMÉNEZ</v>
          </cell>
        </row>
        <row r="13">
          <cell r="B13" t="str">
            <v>JACINTO BAUTISTA LIBORIO</v>
          </cell>
        </row>
        <row r="14">
          <cell r="B14" t="str">
            <v>JOSÉ ÁNGEL AGUIAR LAMAS</v>
          </cell>
        </row>
        <row r="15">
          <cell r="B15" t="str">
            <v>JULIO ANTONIO PLATA OROZCO</v>
          </cell>
        </row>
        <row r="16">
          <cell r="B16" t="str">
            <v>LUIS CARLOS ESCOBEDO PARRA</v>
          </cell>
        </row>
        <row r="17">
          <cell r="B17" t="str">
            <v>MARÍA LUCERO ORDÁZ KETELHUT</v>
          </cell>
        </row>
        <row r="18">
          <cell r="B18" t="str">
            <v>MARIANO MARTÍNEZ ESPINOZA</v>
          </cell>
        </row>
        <row r="19">
          <cell r="B19" t="str">
            <v>MARTHA ALICIA ARELLANO MORENO</v>
          </cell>
        </row>
        <row r="20">
          <cell r="B20" t="str">
            <v>MAURICIO LÓPEZ CASTELLÓN</v>
          </cell>
        </row>
        <row r="21">
          <cell r="B21" t="str">
            <v>MAYRA GABRIELA GUERRERO LÓPEZ</v>
          </cell>
        </row>
        <row r="22">
          <cell r="B22" t="str">
            <v>NOÉ IGNACIO BERNAL VILLALVAZO</v>
          </cell>
        </row>
        <row r="23">
          <cell r="B23" t="str">
            <v>PERLA PALOMA DELGADILLO VALENZUELA</v>
          </cell>
        </row>
        <row r="24">
          <cell r="B24" t="str">
            <v>ROSA ISELA ROMERO RIVERA</v>
          </cell>
        </row>
        <row r="25">
          <cell r="B25" t="str">
            <v>YESSICA XITLALIC HERNÁNDEZ ALCAUTER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rarioGeneral"/>
      <sheetName val="Maestro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BE44"/>
  <sheetViews>
    <sheetView showGridLines="0" tabSelected="1" zoomScale="132" zoomScaleNormal="85" zoomScalePageLayoutView="6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2" sqref="D2:D3"/>
    </sheetView>
  </sheetViews>
  <sheetFormatPr baseColWidth="10" defaultRowHeight="15" x14ac:dyDescent="0.2"/>
  <cols>
    <col min="1" max="2" width="3.6640625" customWidth="1"/>
    <col min="3" max="3" width="15.6640625" customWidth="1"/>
    <col min="4" max="4" width="25.6640625" customWidth="1"/>
    <col min="5" max="9" width="25.6640625" hidden="1" customWidth="1"/>
    <col min="10" max="11" width="25.6640625" customWidth="1"/>
    <col min="12" max="15" width="25.6640625" hidden="1" customWidth="1"/>
    <col min="16" max="16" width="25.6640625" customWidth="1"/>
    <col min="17" max="21" width="25.6640625" hidden="1" customWidth="1"/>
    <col min="22" max="22" width="7.6640625" customWidth="1"/>
    <col min="23" max="23" width="14.6640625" customWidth="1"/>
    <col min="24" max="24" width="7.5" customWidth="1"/>
    <col min="25" max="25" width="18.6640625" customWidth="1"/>
    <col min="26" max="26" width="21.6640625" customWidth="1"/>
    <col min="27" max="27" width="10.6640625" customWidth="1"/>
    <col min="28" max="28" width="1.6640625" customWidth="1"/>
    <col min="29" max="29" width="14.6640625" bestFit="1" customWidth="1"/>
    <col min="30" max="30" width="7.5" customWidth="1"/>
    <col min="31" max="31" width="18.6640625" customWidth="1"/>
    <col min="32" max="32" width="21.6640625" hidden="1" customWidth="1"/>
    <col min="33" max="33" width="10.6640625" customWidth="1"/>
    <col min="34" max="34" width="1.6640625" customWidth="1"/>
    <col min="35" max="35" width="14.6640625" hidden="1" customWidth="1"/>
    <col min="36" max="36" width="7.5" hidden="1" customWidth="1"/>
    <col min="37" max="37" width="18.6640625" hidden="1" customWidth="1"/>
    <col min="38" max="38" width="15.6640625" hidden="1" customWidth="1"/>
    <col min="39" max="39" width="12.6640625" hidden="1" customWidth="1"/>
    <col min="40" max="40" width="1.6640625" hidden="1" customWidth="1"/>
    <col min="41" max="41" width="14.6640625" hidden="1" customWidth="1"/>
    <col min="42" max="42" width="7.5" hidden="1" customWidth="1"/>
    <col min="43" max="43" width="18.6640625" hidden="1" customWidth="1"/>
    <col min="44" max="44" width="21.6640625" hidden="1" customWidth="1"/>
    <col min="45" max="45" width="12.6640625" hidden="1" customWidth="1"/>
    <col min="46" max="46" width="1.6640625" hidden="1" customWidth="1"/>
    <col min="47" max="47" width="14.6640625" hidden="1" customWidth="1"/>
    <col min="48" max="48" width="7.5" hidden="1" customWidth="1"/>
    <col min="49" max="49" width="18.6640625" hidden="1" customWidth="1"/>
    <col min="50" max="50" width="21.6640625" hidden="1" customWidth="1"/>
    <col min="51" max="51" width="12.6640625" hidden="1" customWidth="1"/>
    <col min="52" max="52" width="1.6640625" hidden="1" customWidth="1"/>
    <col min="53" max="53" width="14.6640625" hidden="1" customWidth="1"/>
    <col min="54" max="54" width="7.5" hidden="1" customWidth="1"/>
    <col min="55" max="55" width="18.6640625" hidden="1" customWidth="1"/>
    <col min="56" max="56" width="21.6640625" hidden="1" customWidth="1"/>
    <col min="57" max="57" width="12.6640625" hidden="1" customWidth="1"/>
    <col min="58" max="58" width="11.5" customWidth="1"/>
  </cols>
  <sheetData>
    <row r="1" spans="1:57" ht="33" customHeight="1" thickTop="1" thickBot="1" x14ac:dyDescent="0.4">
      <c r="A1" s="376" t="s">
        <v>97</v>
      </c>
      <c r="B1" s="377"/>
      <c r="C1" s="378"/>
      <c r="D1" s="509" t="s">
        <v>447</v>
      </c>
      <c r="E1" s="104"/>
      <c r="F1" s="104"/>
      <c r="G1" s="104"/>
      <c r="H1" s="105"/>
      <c r="I1" s="105"/>
      <c r="J1" s="34"/>
      <c r="K1" s="352" t="s">
        <v>250</v>
      </c>
      <c r="L1" s="353"/>
      <c r="M1" s="105"/>
      <c r="N1" s="105"/>
      <c r="O1" s="105"/>
      <c r="P1" s="354">
        <f>COUNTBLANK(hpA)+COUNTBLANK(hsA)+COUNTBLANK(hsB)+COUNTBLANK(htA)</f>
        <v>0</v>
      </c>
      <c r="Q1" s="34"/>
      <c r="R1" s="34"/>
      <c r="S1" s="34"/>
      <c r="T1" s="34"/>
      <c r="U1" s="99"/>
      <c r="W1" s="7"/>
      <c r="X1" s="7"/>
      <c r="Y1" s="7"/>
      <c r="Z1" s="328"/>
      <c r="AA1" s="328"/>
      <c r="AB1" s="7"/>
      <c r="AC1" s="7"/>
      <c r="AD1" s="7"/>
      <c r="AE1" s="7"/>
      <c r="AF1" s="328"/>
      <c r="AG1" s="316"/>
      <c r="AI1" s="363" t="s">
        <v>15</v>
      </c>
      <c r="AJ1" s="361" t="s">
        <v>111</v>
      </c>
      <c r="AK1" s="358" t="s">
        <v>252</v>
      </c>
      <c r="AL1" s="359"/>
      <c r="AM1" s="360"/>
      <c r="AO1" s="363" t="s">
        <v>15</v>
      </c>
      <c r="AP1" s="361" t="s">
        <v>111</v>
      </c>
      <c r="AQ1" s="358" t="s">
        <v>264</v>
      </c>
      <c r="AR1" s="359"/>
      <c r="AS1" s="360"/>
      <c r="AT1" s="24"/>
      <c r="AU1" s="363" t="s">
        <v>15</v>
      </c>
      <c r="AV1" s="361" t="s">
        <v>111</v>
      </c>
      <c r="AW1" s="358" t="s">
        <v>265</v>
      </c>
      <c r="AX1" s="359"/>
      <c r="AY1" s="360"/>
      <c r="BA1" s="363" t="s">
        <v>15</v>
      </c>
      <c r="BB1" s="361" t="s">
        <v>111</v>
      </c>
      <c r="BC1" s="358" t="s">
        <v>266</v>
      </c>
      <c r="BD1" s="359"/>
      <c r="BE1" s="360"/>
    </row>
    <row r="2" spans="1:57" ht="15.75" customHeight="1" thickTop="1" thickBot="1" x14ac:dyDescent="0.25">
      <c r="A2" s="503" t="s">
        <v>218</v>
      </c>
      <c r="B2" s="504"/>
      <c r="C2" s="505"/>
      <c r="D2" s="510" t="s">
        <v>7</v>
      </c>
      <c r="E2" s="511"/>
      <c r="F2" s="511"/>
      <c r="G2" s="511"/>
      <c r="H2" s="511"/>
      <c r="I2" s="511"/>
      <c r="J2" s="510" t="s">
        <v>9</v>
      </c>
      <c r="K2" s="510" t="s">
        <v>10</v>
      </c>
      <c r="L2" s="511"/>
      <c r="M2" s="511"/>
      <c r="N2" s="511"/>
      <c r="O2" s="511"/>
      <c r="P2" s="510" t="s">
        <v>11</v>
      </c>
      <c r="Q2" s="37"/>
      <c r="R2" s="37"/>
      <c r="S2" s="37"/>
      <c r="T2" s="37"/>
      <c r="U2" s="37"/>
      <c r="V2" s="379" t="s">
        <v>62</v>
      </c>
      <c r="W2" s="383" t="s">
        <v>15</v>
      </c>
      <c r="X2" s="381" t="s">
        <v>111</v>
      </c>
      <c r="Y2" s="385" t="s">
        <v>45</v>
      </c>
      <c r="Z2" s="386"/>
      <c r="AA2" s="387"/>
      <c r="AB2" s="7"/>
      <c r="AC2" s="388" t="s">
        <v>15</v>
      </c>
      <c r="AD2" s="381" t="s">
        <v>111</v>
      </c>
      <c r="AE2" s="385" t="s">
        <v>46</v>
      </c>
      <c r="AF2" s="386"/>
      <c r="AG2" s="387"/>
      <c r="AI2" s="364"/>
      <c r="AJ2" s="362"/>
      <c r="AK2" s="110" t="s">
        <v>60</v>
      </c>
      <c r="AL2" s="110" t="s">
        <v>65</v>
      </c>
      <c r="AM2" s="111" t="s">
        <v>66</v>
      </c>
      <c r="AO2" s="364"/>
      <c r="AP2" s="362"/>
      <c r="AQ2" s="110" t="s">
        <v>60</v>
      </c>
      <c r="AR2" s="110" t="s">
        <v>65</v>
      </c>
      <c r="AS2" s="111" t="s">
        <v>66</v>
      </c>
      <c r="AT2" s="24"/>
      <c r="AU2" s="364"/>
      <c r="AV2" s="362"/>
      <c r="AW2" s="110" t="s">
        <v>60</v>
      </c>
      <c r="AX2" s="110" t="s">
        <v>65</v>
      </c>
      <c r="AY2" s="111" t="s">
        <v>66</v>
      </c>
      <c r="BA2" s="364"/>
      <c r="BB2" s="362"/>
      <c r="BC2" s="110" t="s">
        <v>60</v>
      </c>
      <c r="BD2" s="110" t="s">
        <v>65</v>
      </c>
      <c r="BE2" s="111" t="s">
        <v>66</v>
      </c>
    </row>
    <row r="3" spans="1:57" ht="21" thickTop="1" thickBot="1" x14ac:dyDescent="0.25">
      <c r="A3" s="506"/>
      <c r="B3" s="507"/>
      <c r="C3" s="508"/>
      <c r="D3" s="512"/>
      <c r="E3" s="511" t="s">
        <v>8</v>
      </c>
      <c r="F3" s="511" t="s">
        <v>253</v>
      </c>
      <c r="G3" s="511" t="s">
        <v>254</v>
      </c>
      <c r="H3" s="511" t="s">
        <v>255</v>
      </c>
      <c r="I3" s="511" t="s">
        <v>256</v>
      </c>
      <c r="J3" s="512"/>
      <c r="K3" s="512"/>
      <c r="L3" s="511" t="s">
        <v>242</v>
      </c>
      <c r="M3" s="511" t="s">
        <v>257</v>
      </c>
      <c r="N3" s="511" t="s">
        <v>258</v>
      </c>
      <c r="O3" s="511" t="s">
        <v>259</v>
      </c>
      <c r="P3" s="512"/>
      <c r="Q3" s="502" t="s">
        <v>61</v>
      </c>
      <c r="R3" s="9" t="s">
        <v>260</v>
      </c>
      <c r="S3" s="9" t="s">
        <v>261</v>
      </c>
      <c r="T3" s="9" t="s">
        <v>262</v>
      </c>
      <c r="U3" s="28" t="s">
        <v>263</v>
      </c>
      <c r="V3" s="380"/>
      <c r="W3" s="384"/>
      <c r="X3" s="382"/>
      <c r="Y3" s="329" t="s">
        <v>60</v>
      </c>
      <c r="Z3" s="329" t="s">
        <v>65</v>
      </c>
      <c r="AA3" s="330" t="s">
        <v>66</v>
      </c>
      <c r="AC3" s="389"/>
      <c r="AD3" s="382"/>
      <c r="AE3" s="110" t="s">
        <v>60</v>
      </c>
      <c r="AF3" s="110" t="s">
        <v>65</v>
      </c>
      <c r="AG3" s="111" t="s">
        <v>66</v>
      </c>
      <c r="AI3" s="106" t="str">
        <f>'Carga horaria'!A3</f>
        <v>Español I</v>
      </c>
      <c r="AJ3" s="6">
        <f>'Carga horaria'!B3</f>
        <v>5</v>
      </c>
      <c r="AK3" s="112"/>
      <c r="AL3" s="113" t="str">
        <f t="shared" ref="AL3:AL12" si="0">CONCATENATE(AI3," - ", AK3)</f>
        <v xml:space="preserve">Español I - </v>
      </c>
      <c r="AM3" s="114">
        <f t="shared" ref="AM3:AM12" si="1">AJ3-COUNTIF(hpC,AL3)</f>
        <v>5</v>
      </c>
      <c r="AO3" s="106" t="str">
        <f>'Carga horaria'!A3</f>
        <v>Español I</v>
      </c>
      <c r="AP3" s="6">
        <f>'Carga horaria'!B3</f>
        <v>5</v>
      </c>
      <c r="AQ3" s="112"/>
      <c r="AR3" s="113" t="str">
        <f t="shared" ref="AR3:AR12" si="2">CONCATENATE(AO3," - ", AQ3)</f>
        <v xml:space="preserve">Español I - </v>
      </c>
      <c r="AS3" s="114">
        <f t="shared" ref="AS3:AS12" si="3">AP3-COUNTIF(hpD,AR3)</f>
        <v>5</v>
      </c>
      <c r="AT3" s="24"/>
      <c r="AU3" s="106" t="str">
        <f>'Carga horaria'!A3</f>
        <v>Español I</v>
      </c>
      <c r="AV3" s="6">
        <f>'Carga horaria'!B3</f>
        <v>5</v>
      </c>
      <c r="AW3" s="112"/>
      <c r="AX3" s="113" t="str">
        <f t="shared" ref="AX3:AX12" si="4">CONCATENATE(AU3," - ", AW3)</f>
        <v xml:space="preserve">Español I - </v>
      </c>
      <c r="AY3" s="114">
        <f t="shared" ref="AY3:AY12" si="5">AV3-COUNTIF(hpE,AX3)</f>
        <v>5</v>
      </c>
      <c r="BA3" s="106" t="str">
        <f>'Carga horaria'!A3</f>
        <v>Español I</v>
      </c>
      <c r="BB3" s="6">
        <f>'Carga horaria'!B3</f>
        <v>5</v>
      </c>
      <c r="BC3" s="112"/>
      <c r="BD3" s="113" t="str">
        <f t="shared" ref="BD3:BD12" si="6">CONCATENATE(BA3," - ", BC3)</f>
        <v xml:space="preserve">Español I - </v>
      </c>
      <c r="BE3" s="114">
        <f t="shared" ref="BE3:BE12" si="7">BB3-COUNTIF(hpF,BD3)</f>
        <v>5</v>
      </c>
    </row>
    <row r="4" spans="1:57" ht="16.5" customHeight="1" thickTop="1" x14ac:dyDescent="0.2">
      <c r="A4" s="375" t="s">
        <v>52</v>
      </c>
      <c r="B4" s="301">
        <v>1</v>
      </c>
      <c r="C4" s="302" t="s">
        <v>199</v>
      </c>
      <c r="D4" s="260" t="s">
        <v>529</v>
      </c>
      <c r="E4" s="261"/>
      <c r="F4" s="261"/>
      <c r="G4" s="261"/>
      <c r="H4" s="261"/>
      <c r="I4" s="261"/>
      <c r="J4" s="261" t="s">
        <v>482</v>
      </c>
      <c r="K4" s="261" t="s">
        <v>489</v>
      </c>
      <c r="L4" s="261"/>
      <c r="M4" s="261"/>
      <c r="N4" s="261"/>
      <c r="O4" s="261"/>
      <c r="P4" s="261" t="s">
        <v>478</v>
      </c>
      <c r="Q4" s="43"/>
      <c r="R4" s="43"/>
      <c r="S4" s="43"/>
      <c r="T4" s="43"/>
      <c r="U4" s="43"/>
      <c r="V4" s="29" t="str">
        <f>IF(eColision(D4:U4),"X","")</f>
        <v/>
      </c>
      <c r="W4" s="25" t="str">
        <f>'Carga horaria'!A3</f>
        <v>Español I</v>
      </c>
      <c r="X4" s="6">
        <f>'Carga horaria'!B3</f>
        <v>5</v>
      </c>
      <c r="Y4" s="112" t="str">
        <f>'EST24'!E4</f>
        <v>RAUL</v>
      </c>
      <c r="Z4" s="113" t="str">
        <f>CONCATENATE(W4," - ", Y4)</f>
        <v>Español I - RAUL</v>
      </c>
      <c r="AA4" s="114">
        <f t="shared" ref="AA4:AA13" si="8">X4-COUNTIF(hpA,Z4)</f>
        <v>0</v>
      </c>
      <c r="AB4" s="7"/>
      <c r="AC4" s="106" t="str">
        <f>'Carga horaria'!A3</f>
        <v>Español I</v>
      </c>
      <c r="AD4" s="6">
        <f>'Carga horaria'!B3</f>
        <v>5</v>
      </c>
      <c r="AE4" s="112">
        <f>'EST24'!G4</f>
        <v>0</v>
      </c>
      <c r="AF4" s="113" t="str">
        <f t="shared" ref="AF4:AF13" si="9">CONCATENATE(W4," - ", AE4)</f>
        <v>Español I - 0</v>
      </c>
      <c r="AG4" s="114">
        <f t="shared" ref="AG4:AG13" si="10">AD4-COUNTIF(hpB,AF4)</f>
        <v>5</v>
      </c>
      <c r="AI4" s="106" t="str">
        <f>'Carga horaria'!A4</f>
        <v>Matemáticas I</v>
      </c>
      <c r="AJ4" s="6">
        <f>'Carga horaria'!B4</f>
        <v>5</v>
      </c>
      <c r="AK4" s="112"/>
      <c r="AL4" s="113" t="str">
        <f t="shared" si="0"/>
        <v xml:space="preserve">Matemáticas I - </v>
      </c>
      <c r="AM4" s="114">
        <f t="shared" si="1"/>
        <v>5</v>
      </c>
      <c r="AO4" s="106" t="str">
        <f>'Carga horaria'!A4</f>
        <v>Matemáticas I</v>
      </c>
      <c r="AP4" s="6">
        <f>'Carga horaria'!B4</f>
        <v>5</v>
      </c>
      <c r="AQ4" s="112"/>
      <c r="AR4" s="113" t="str">
        <f t="shared" si="2"/>
        <v xml:space="preserve">Matemáticas I - </v>
      </c>
      <c r="AS4" s="114">
        <f t="shared" si="3"/>
        <v>5</v>
      </c>
      <c r="AT4" s="24"/>
      <c r="AU4" s="106" t="str">
        <f>'Carga horaria'!A4</f>
        <v>Matemáticas I</v>
      </c>
      <c r="AV4" s="6">
        <f>'Carga horaria'!B4</f>
        <v>5</v>
      </c>
      <c r="AW4" s="112"/>
      <c r="AX4" s="113" t="str">
        <f t="shared" si="4"/>
        <v xml:space="preserve">Matemáticas I - </v>
      </c>
      <c r="AY4" s="114">
        <f t="shared" si="5"/>
        <v>5</v>
      </c>
      <c r="BA4" s="106" t="str">
        <f>'Carga horaria'!A4</f>
        <v>Matemáticas I</v>
      </c>
      <c r="BB4" s="6">
        <f>'Carga horaria'!B4</f>
        <v>5</v>
      </c>
      <c r="BC4" s="112"/>
      <c r="BD4" s="113" t="str">
        <f t="shared" si="6"/>
        <v xml:space="preserve">Matemáticas I - </v>
      </c>
      <c r="BE4" s="114">
        <f t="shared" si="7"/>
        <v>5</v>
      </c>
    </row>
    <row r="5" spans="1:57" x14ac:dyDescent="0.2">
      <c r="A5" s="370"/>
      <c r="B5" s="76">
        <v>2</v>
      </c>
      <c r="C5" s="78" t="s">
        <v>198</v>
      </c>
      <c r="D5" s="41" t="s">
        <v>483</v>
      </c>
      <c r="E5" s="119"/>
      <c r="F5" s="119"/>
      <c r="G5" s="119"/>
      <c r="H5" s="119"/>
      <c r="I5" s="119"/>
      <c r="J5" s="119" t="s">
        <v>489</v>
      </c>
      <c r="K5" s="119" t="s">
        <v>487</v>
      </c>
      <c r="L5" s="119"/>
      <c r="M5" s="119"/>
      <c r="N5" s="119"/>
      <c r="O5" s="119"/>
      <c r="P5" s="119" t="s">
        <v>480</v>
      </c>
      <c r="Q5" s="43"/>
      <c r="R5" s="43"/>
      <c r="S5" s="43"/>
      <c r="T5" s="43"/>
      <c r="U5" s="43"/>
      <c r="V5" s="29" t="str">
        <f>IF(eColision(D5:U5),"X","")</f>
        <v/>
      </c>
      <c r="W5" s="25" t="str">
        <f>'Carga horaria'!A4</f>
        <v>Matemáticas I</v>
      </c>
      <c r="X5" s="6">
        <f>'Carga horaria'!B4</f>
        <v>5</v>
      </c>
      <c r="Y5" s="112" t="str">
        <f>'EST24'!E5</f>
        <v>MELISSA</v>
      </c>
      <c r="Z5" s="113" t="str">
        <f t="shared" ref="Z5:Z13" si="11">CONCATENATE(W5," - ", Y5)</f>
        <v>Matemáticas I - MELISSA</v>
      </c>
      <c r="AA5" s="114">
        <f t="shared" si="8"/>
        <v>0</v>
      </c>
      <c r="AB5" s="7"/>
      <c r="AC5" s="106" t="str">
        <f>'Carga horaria'!A4</f>
        <v>Matemáticas I</v>
      </c>
      <c r="AD5" s="6">
        <f>'Carga horaria'!B4</f>
        <v>5</v>
      </c>
      <c r="AE5" s="112">
        <f>'EST24'!G5</f>
        <v>0</v>
      </c>
      <c r="AF5" s="113" t="str">
        <f t="shared" si="9"/>
        <v>Matemáticas I - 0</v>
      </c>
      <c r="AG5" s="114">
        <f t="shared" si="10"/>
        <v>5</v>
      </c>
      <c r="AI5" s="106" t="str">
        <f>'Carga horaria'!A5</f>
        <v>Ciencias I</v>
      </c>
      <c r="AJ5" s="6">
        <f>'Carga horaria'!B5</f>
        <v>4</v>
      </c>
      <c r="AK5" s="112"/>
      <c r="AL5" s="113" t="str">
        <f t="shared" si="0"/>
        <v xml:space="preserve">Ciencias I - </v>
      </c>
      <c r="AM5" s="114">
        <f t="shared" si="1"/>
        <v>4</v>
      </c>
      <c r="AO5" s="106" t="str">
        <f>'Carga horaria'!A5</f>
        <v>Ciencias I</v>
      </c>
      <c r="AP5" s="6">
        <f>'Carga horaria'!B5</f>
        <v>4</v>
      </c>
      <c r="AQ5" s="112"/>
      <c r="AR5" s="113" t="str">
        <f t="shared" si="2"/>
        <v xml:space="preserve">Ciencias I - </v>
      </c>
      <c r="AS5" s="114">
        <f t="shared" si="3"/>
        <v>4</v>
      </c>
      <c r="AT5" s="24"/>
      <c r="AU5" s="106" t="str">
        <f>'Carga horaria'!A5</f>
        <v>Ciencias I</v>
      </c>
      <c r="AV5" s="6">
        <f>'Carga horaria'!B5</f>
        <v>4</v>
      </c>
      <c r="AW5" s="112"/>
      <c r="AX5" s="113" t="str">
        <f t="shared" si="4"/>
        <v xml:space="preserve">Ciencias I - </v>
      </c>
      <c r="AY5" s="114">
        <f t="shared" si="5"/>
        <v>4</v>
      </c>
      <c r="BA5" s="106" t="str">
        <f>'Carga horaria'!A5</f>
        <v>Ciencias I</v>
      </c>
      <c r="BB5" s="6">
        <f>'Carga horaria'!B5</f>
        <v>4</v>
      </c>
      <c r="BC5" s="112"/>
      <c r="BD5" s="113" t="str">
        <f t="shared" si="6"/>
        <v xml:space="preserve">Ciencias I - </v>
      </c>
      <c r="BE5" s="114">
        <f t="shared" si="7"/>
        <v>4</v>
      </c>
    </row>
    <row r="6" spans="1:57" x14ac:dyDescent="0.2">
      <c r="A6" s="370"/>
      <c r="B6" s="76">
        <v>3</v>
      </c>
      <c r="C6" s="78" t="s">
        <v>439</v>
      </c>
      <c r="D6" s="41" t="s">
        <v>488</v>
      </c>
      <c r="E6" s="119"/>
      <c r="F6" s="119"/>
      <c r="G6" s="119"/>
      <c r="H6" s="119"/>
      <c r="I6" s="119"/>
      <c r="J6" s="119" t="s">
        <v>487</v>
      </c>
      <c r="K6" s="119" t="s">
        <v>482</v>
      </c>
      <c r="L6" s="119"/>
      <c r="M6" s="119"/>
      <c r="N6" s="119"/>
      <c r="O6" s="119"/>
      <c r="P6" s="119" t="s">
        <v>490</v>
      </c>
      <c r="Q6" s="43"/>
      <c r="R6" s="43"/>
      <c r="S6" s="43"/>
      <c r="T6" s="43"/>
      <c r="U6" s="43"/>
      <c r="V6" s="29" t="str">
        <f>IF(eColision(D6:U6),"X","")</f>
        <v/>
      </c>
      <c r="W6" s="25" t="str">
        <f>'Carga horaria'!A5</f>
        <v>Ciencias I</v>
      </c>
      <c r="X6" s="6">
        <f>'Carga horaria'!B5</f>
        <v>4</v>
      </c>
      <c r="Y6" s="112" t="str">
        <f>'EST24'!E6</f>
        <v>MACEDONIO</v>
      </c>
      <c r="Z6" s="113" t="str">
        <f t="shared" si="11"/>
        <v>Ciencias I - MACEDONIO</v>
      </c>
      <c r="AA6" s="114">
        <f t="shared" si="8"/>
        <v>0</v>
      </c>
      <c r="AB6" s="7"/>
      <c r="AC6" s="106" t="str">
        <f>'Carga horaria'!A5</f>
        <v>Ciencias I</v>
      </c>
      <c r="AD6" s="6">
        <f>'Carga horaria'!B5</f>
        <v>4</v>
      </c>
      <c r="AE6" s="112">
        <f>'EST24'!G6</f>
        <v>0</v>
      </c>
      <c r="AF6" s="113" t="str">
        <f t="shared" si="9"/>
        <v>Ciencias I - 0</v>
      </c>
      <c r="AG6" s="114">
        <f t="shared" si="10"/>
        <v>4</v>
      </c>
      <c r="AI6" s="106" t="str">
        <f>'Carga horaria'!A6</f>
        <v>Historia I</v>
      </c>
      <c r="AJ6" s="6">
        <f>'Carga horaria'!B6</f>
        <v>2</v>
      </c>
      <c r="AK6" s="112"/>
      <c r="AL6" s="113" t="str">
        <f t="shared" si="0"/>
        <v xml:space="preserve">Historia I - </v>
      </c>
      <c r="AM6" s="114">
        <f t="shared" si="1"/>
        <v>2</v>
      </c>
      <c r="AO6" s="106" t="str">
        <f>'Carga horaria'!A6</f>
        <v>Historia I</v>
      </c>
      <c r="AP6" s="6">
        <f>'Carga horaria'!B6</f>
        <v>2</v>
      </c>
      <c r="AQ6" s="112"/>
      <c r="AR6" s="113" t="str">
        <f t="shared" si="2"/>
        <v xml:space="preserve">Historia I - </v>
      </c>
      <c r="AS6" s="114">
        <f t="shared" si="3"/>
        <v>2</v>
      </c>
      <c r="AT6" s="24"/>
      <c r="AU6" s="106" t="str">
        <f>'Carga horaria'!A6</f>
        <v>Historia I</v>
      </c>
      <c r="AV6" s="6">
        <f>'Carga horaria'!B6</f>
        <v>2</v>
      </c>
      <c r="AW6" s="112"/>
      <c r="AX6" s="113" t="str">
        <f t="shared" si="4"/>
        <v xml:space="preserve">Historia I - </v>
      </c>
      <c r="AY6" s="114">
        <f t="shared" si="5"/>
        <v>2</v>
      </c>
      <c r="BA6" s="106" t="str">
        <f>'Carga horaria'!A6</f>
        <v>Historia I</v>
      </c>
      <c r="BB6" s="6">
        <f>'Carga horaria'!B6</f>
        <v>2</v>
      </c>
      <c r="BC6" s="112"/>
      <c r="BD6" s="113" t="str">
        <f t="shared" si="6"/>
        <v xml:space="preserve">Historia I - </v>
      </c>
      <c r="BE6" s="114">
        <f t="shared" si="7"/>
        <v>2</v>
      </c>
    </row>
    <row r="7" spans="1:57" x14ac:dyDescent="0.2">
      <c r="A7" s="370"/>
      <c r="B7" s="76">
        <v>4</v>
      </c>
      <c r="C7" s="78" t="s">
        <v>440</v>
      </c>
      <c r="D7" s="41" t="s">
        <v>500</v>
      </c>
      <c r="E7" s="119"/>
      <c r="F7" s="119"/>
      <c r="G7" s="119"/>
      <c r="H7" s="119"/>
      <c r="I7" s="119"/>
      <c r="J7" s="119" t="s">
        <v>487</v>
      </c>
      <c r="K7" s="119" t="s">
        <v>526</v>
      </c>
      <c r="L7" s="119"/>
      <c r="M7" s="119"/>
      <c r="N7" s="119"/>
      <c r="O7" s="119"/>
      <c r="P7" s="119" t="s">
        <v>476</v>
      </c>
      <c r="Q7" s="43"/>
      <c r="R7" s="43"/>
      <c r="S7" s="43"/>
      <c r="T7" s="43"/>
      <c r="U7" s="43"/>
      <c r="V7" s="29" t="str">
        <f>IF(eColision(D7:U7),"X","")</f>
        <v/>
      </c>
      <c r="W7" s="25" t="str">
        <f>'Carga horaria'!A6</f>
        <v>Historia I</v>
      </c>
      <c r="X7" s="6">
        <f>'Carga horaria'!B6</f>
        <v>2</v>
      </c>
      <c r="Y7" s="112" t="str">
        <f>'EST24'!E7</f>
        <v>PATRICIA</v>
      </c>
      <c r="Z7" s="113" t="str">
        <f t="shared" si="11"/>
        <v>Historia I - PATRICIA</v>
      </c>
      <c r="AA7" s="114">
        <f t="shared" si="8"/>
        <v>0</v>
      </c>
      <c r="AB7" s="7"/>
      <c r="AC7" s="106" t="str">
        <f>'Carga horaria'!A6</f>
        <v>Historia I</v>
      </c>
      <c r="AD7" s="6">
        <f>'Carga horaria'!B6</f>
        <v>2</v>
      </c>
      <c r="AE7" s="112">
        <f>'EST24'!G7</f>
        <v>0</v>
      </c>
      <c r="AF7" s="113" t="str">
        <f t="shared" si="9"/>
        <v>Historia I - 0</v>
      </c>
      <c r="AG7" s="114">
        <f t="shared" si="10"/>
        <v>2</v>
      </c>
      <c r="AI7" s="106" t="str">
        <f>'Carga horaria'!A7</f>
        <v>F.C.E. I</v>
      </c>
      <c r="AJ7" s="6">
        <f>'Carga horaria'!B7</f>
        <v>2</v>
      </c>
      <c r="AK7" s="112"/>
      <c r="AL7" s="113" t="str">
        <f t="shared" si="0"/>
        <v xml:space="preserve">F.C.E. I - </v>
      </c>
      <c r="AM7" s="114">
        <f t="shared" si="1"/>
        <v>2</v>
      </c>
      <c r="AO7" s="106" t="str">
        <f>'Carga horaria'!A7</f>
        <v>F.C.E. I</v>
      </c>
      <c r="AP7" s="6">
        <f>'Carga horaria'!B7</f>
        <v>2</v>
      </c>
      <c r="AQ7" s="112"/>
      <c r="AR7" s="113" t="str">
        <f t="shared" si="2"/>
        <v xml:space="preserve">F.C.E. I - </v>
      </c>
      <c r="AS7" s="114">
        <f t="shared" si="3"/>
        <v>2</v>
      </c>
      <c r="AT7" s="24"/>
      <c r="AU7" s="106" t="str">
        <f>'Carga horaria'!A7</f>
        <v>F.C.E. I</v>
      </c>
      <c r="AV7" s="6">
        <f>'Carga horaria'!B7</f>
        <v>2</v>
      </c>
      <c r="AW7" s="112"/>
      <c r="AX7" s="113" t="str">
        <f t="shared" si="4"/>
        <v xml:space="preserve">F.C.E. I - </v>
      </c>
      <c r="AY7" s="114">
        <f t="shared" si="5"/>
        <v>2</v>
      </c>
      <c r="BA7" s="106" t="str">
        <f>'Carga horaria'!A7</f>
        <v>F.C.E. I</v>
      </c>
      <c r="BB7" s="6">
        <f>'Carga horaria'!B7</f>
        <v>2</v>
      </c>
      <c r="BC7" s="112"/>
      <c r="BD7" s="113" t="str">
        <f t="shared" si="6"/>
        <v xml:space="preserve">F.C.E. I - </v>
      </c>
      <c r="BE7" s="114">
        <f t="shared" si="7"/>
        <v>2</v>
      </c>
    </row>
    <row r="8" spans="1:57" ht="16.5" customHeight="1" x14ac:dyDescent="0.2">
      <c r="A8" s="370"/>
      <c r="B8" s="76">
        <v>5</v>
      </c>
      <c r="C8" s="78" t="s">
        <v>441</v>
      </c>
      <c r="D8" s="41" t="s">
        <v>527</v>
      </c>
      <c r="E8" s="119"/>
      <c r="F8" s="119"/>
      <c r="G8" s="119"/>
      <c r="H8" s="119"/>
      <c r="I8" s="119"/>
      <c r="J8" s="119" t="s">
        <v>504</v>
      </c>
      <c r="K8" s="119" t="s">
        <v>502</v>
      </c>
      <c r="L8" s="119"/>
      <c r="M8" s="119"/>
      <c r="N8" s="119"/>
      <c r="O8" s="119"/>
      <c r="P8" s="119" t="s">
        <v>532</v>
      </c>
      <c r="Q8" s="43"/>
      <c r="R8" s="43"/>
      <c r="S8" s="43"/>
      <c r="T8" s="43"/>
      <c r="U8" s="43"/>
      <c r="V8" s="29" t="str">
        <f>IF(eColision(D8:U8),"X","")</f>
        <v/>
      </c>
      <c r="W8" s="25" t="str">
        <f>'Carga horaria'!A7</f>
        <v>F.C.E. I</v>
      </c>
      <c r="X8" s="6">
        <f>'Carga horaria'!B7</f>
        <v>2</v>
      </c>
      <c r="Y8" s="112" t="str">
        <f>'EST24'!E8</f>
        <v>MELISSA</v>
      </c>
      <c r="Z8" s="113" t="str">
        <f t="shared" si="11"/>
        <v>F.C.E. I - MELISSA</v>
      </c>
      <c r="AA8" s="114">
        <f t="shared" si="8"/>
        <v>0</v>
      </c>
      <c r="AB8" s="7"/>
      <c r="AC8" s="106" t="str">
        <f>'Carga horaria'!A7</f>
        <v>F.C.E. I</v>
      </c>
      <c r="AD8" s="6">
        <f>'Carga horaria'!B7</f>
        <v>2</v>
      </c>
      <c r="AE8" s="112">
        <f>'EST24'!G8</f>
        <v>0</v>
      </c>
      <c r="AF8" s="113" t="str">
        <f t="shared" si="9"/>
        <v>F.C.E. I - 0</v>
      </c>
      <c r="AG8" s="114">
        <f t="shared" si="10"/>
        <v>2</v>
      </c>
      <c r="AI8" s="106" t="str">
        <f>'Carga horaria'!A8</f>
        <v>Geografía</v>
      </c>
      <c r="AJ8" s="6">
        <f>'Carga horaria'!B8</f>
        <v>4</v>
      </c>
      <c r="AK8" s="112"/>
      <c r="AL8" s="113" t="str">
        <f t="shared" si="0"/>
        <v xml:space="preserve">Geografía - </v>
      </c>
      <c r="AM8" s="114">
        <f t="shared" si="1"/>
        <v>4</v>
      </c>
      <c r="AO8" s="106" t="str">
        <f>'Carga horaria'!A8</f>
        <v>Geografía</v>
      </c>
      <c r="AP8" s="6">
        <f>'Carga horaria'!B8</f>
        <v>4</v>
      </c>
      <c r="AQ8" s="112"/>
      <c r="AR8" s="113" t="str">
        <f t="shared" si="2"/>
        <v xml:space="preserve">Geografía - </v>
      </c>
      <c r="AS8" s="114">
        <f t="shared" si="3"/>
        <v>4</v>
      </c>
      <c r="AT8" s="24"/>
      <c r="AU8" s="106" t="str">
        <f>'Carga horaria'!A8</f>
        <v>Geografía</v>
      </c>
      <c r="AV8" s="6">
        <f>'Carga horaria'!B8</f>
        <v>4</v>
      </c>
      <c r="AW8" s="112"/>
      <c r="AX8" s="113" t="str">
        <f t="shared" si="4"/>
        <v xml:space="preserve">Geografía - </v>
      </c>
      <c r="AY8" s="114">
        <f t="shared" si="5"/>
        <v>4</v>
      </c>
      <c r="BA8" s="106" t="str">
        <f>'Carga horaria'!A8</f>
        <v>Geografía</v>
      </c>
      <c r="BB8" s="6">
        <f>'Carga horaria'!B8</f>
        <v>4</v>
      </c>
      <c r="BC8" s="112"/>
      <c r="BD8" s="113" t="str">
        <f t="shared" si="6"/>
        <v xml:space="preserve">Geografía - </v>
      </c>
      <c r="BE8" s="114">
        <f t="shared" si="7"/>
        <v>4</v>
      </c>
    </row>
    <row r="9" spans="1:57" x14ac:dyDescent="0.2">
      <c r="A9" s="370"/>
      <c r="B9" s="76">
        <v>6</v>
      </c>
      <c r="C9" s="78" t="s">
        <v>466</v>
      </c>
      <c r="D9" s="41" t="s">
        <v>475</v>
      </c>
      <c r="E9" s="41"/>
      <c r="F9" s="41"/>
      <c r="G9" s="41"/>
      <c r="H9" s="41"/>
      <c r="I9" s="41"/>
      <c r="J9" s="41" t="s">
        <v>526</v>
      </c>
      <c r="K9" s="41" t="s">
        <v>504</v>
      </c>
      <c r="L9" s="41"/>
      <c r="M9" s="41"/>
      <c r="N9" s="41"/>
      <c r="O9" s="41"/>
      <c r="P9" s="41" t="s">
        <v>532</v>
      </c>
      <c r="Q9" s="43"/>
      <c r="R9" s="43"/>
      <c r="S9" s="43"/>
      <c r="T9" s="43"/>
      <c r="U9" s="43"/>
      <c r="V9" s="29" t="str">
        <f>IF(eColision(D9:U9),"X","")</f>
        <v/>
      </c>
      <c r="W9" s="25" t="str">
        <f>'Carga horaria'!A8</f>
        <v>Geografía</v>
      </c>
      <c r="X9" s="6">
        <f>'Carga horaria'!B8</f>
        <v>4</v>
      </c>
      <c r="Y9" s="112" t="str">
        <f>'EST24'!E9</f>
        <v>PATRICIA</v>
      </c>
      <c r="Z9" s="113" t="str">
        <f t="shared" si="11"/>
        <v>Geografía - PATRICIA</v>
      </c>
      <c r="AA9" s="114">
        <f t="shared" si="8"/>
        <v>0</v>
      </c>
      <c r="AB9" s="7"/>
      <c r="AC9" s="106" t="str">
        <f>'Carga horaria'!A8</f>
        <v>Geografía</v>
      </c>
      <c r="AD9" s="6">
        <f>'Carga horaria'!B8</f>
        <v>4</v>
      </c>
      <c r="AE9" s="112">
        <f>'EST24'!G9</f>
        <v>0</v>
      </c>
      <c r="AF9" s="113" t="str">
        <f t="shared" si="9"/>
        <v>Geografía - 0</v>
      </c>
      <c r="AG9" s="114">
        <f t="shared" si="10"/>
        <v>4</v>
      </c>
      <c r="AI9" s="106" t="str">
        <f>'Carga horaria'!A9</f>
        <v>Inglés I</v>
      </c>
      <c r="AJ9" s="6">
        <f>'Carga horaria'!B9</f>
        <v>3</v>
      </c>
      <c r="AK9" s="112"/>
      <c r="AL9" s="113" t="str">
        <f t="shared" si="0"/>
        <v xml:space="preserve">Inglés I - </v>
      </c>
      <c r="AM9" s="114">
        <f t="shared" si="1"/>
        <v>3</v>
      </c>
      <c r="AO9" s="106" t="str">
        <f>'Carga horaria'!A9</f>
        <v>Inglés I</v>
      </c>
      <c r="AP9" s="6">
        <f>'Carga horaria'!B9</f>
        <v>3</v>
      </c>
      <c r="AQ9" s="112"/>
      <c r="AR9" s="113" t="str">
        <f t="shared" si="2"/>
        <v xml:space="preserve">Inglés I - </v>
      </c>
      <c r="AS9" s="114">
        <f t="shared" si="3"/>
        <v>3</v>
      </c>
      <c r="AT9" s="24"/>
      <c r="AU9" s="106" t="str">
        <f>'Carga horaria'!A9</f>
        <v>Inglés I</v>
      </c>
      <c r="AV9" s="6">
        <f>'Carga horaria'!B9</f>
        <v>3</v>
      </c>
      <c r="AW9" s="112"/>
      <c r="AX9" s="113" t="str">
        <f t="shared" si="4"/>
        <v xml:space="preserve">Inglés I - </v>
      </c>
      <c r="AY9" s="114">
        <f t="shared" si="5"/>
        <v>3</v>
      </c>
      <c r="BA9" s="106" t="str">
        <f>'Carga horaria'!A9</f>
        <v>Inglés I</v>
      </c>
      <c r="BB9" s="6">
        <f>'Carga horaria'!B9</f>
        <v>3</v>
      </c>
      <c r="BC9" s="112"/>
      <c r="BD9" s="113" t="str">
        <f t="shared" si="6"/>
        <v xml:space="preserve">Inglés I - </v>
      </c>
      <c r="BE9" s="114">
        <f t="shared" si="7"/>
        <v>3</v>
      </c>
    </row>
    <row r="10" spans="1:57" x14ac:dyDescent="0.2">
      <c r="A10" s="370"/>
      <c r="B10" s="91">
        <v>7</v>
      </c>
      <c r="C10" s="78" t="s">
        <v>467</v>
      </c>
      <c r="D10" s="253" t="s">
        <v>501</v>
      </c>
      <c r="E10" s="119"/>
      <c r="F10" s="119"/>
      <c r="G10" s="119"/>
      <c r="H10" s="119"/>
      <c r="I10" s="119"/>
      <c r="J10" s="254" t="s">
        <v>530</v>
      </c>
      <c r="K10" s="119" t="s">
        <v>480</v>
      </c>
      <c r="L10" s="119"/>
      <c r="M10" s="119"/>
      <c r="N10" s="119"/>
      <c r="O10" s="119"/>
      <c r="P10" s="119" t="s">
        <v>486</v>
      </c>
      <c r="Q10" s="118"/>
      <c r="R10" s="118"/>
      <c r="S10" s="118"/>
      <c r="T10" s="43"/>
      <c r="U10" s="89"/>
      <c r="V10" s="29" t="str">
        <f>IF(eColision(D10:U10),"X","")</f>
        <v/>
      </c>
      <c r="W10" s="25" t="str">
        <f>'Carga horaria'!A9</f>
        <v>Inglés I</v>
      </c>
      <c r="X10" s="6">
        <f>'Carga horaria'!B9</f>
        <v>3</v>
      </c>
      <c r="Y10" s="112" t="str">
        <f>'EST24'!E10</f>
        <v>GUSTAVO</v>
      </c>
      <c r="Z10" s="113" t="str">
        <f t="shared" si="11"/>
        <v>Inglés I - GUSTAVO</v>
      </c>
      <c r="AA10" s="114">
        <f t="shared" si="8"/>
        <v>0</v>
      </c>
      <c r="AB10" s="7"/>
      <c r="AC10" s="106" t="str">
        <f>'Carga horaria'!A9</f>
        <v>Inglés I</v>
      </c>
      <c r="AD10" s="6">
        <f>'Carga horaria'!B9</f>
        <v>3</v>
      </c>
      <c r="AE10" s="112">
        <f>'EST24'!G10</f>
        <v>0</v>
      </c>
      <c r="AF10" s="113" t="str">
        <f t="shared" si="9"/>
        <v>Inglés I - 0</v>
      </c>
      <c r="AG10" s="114">
        <f t="shared" si="10"/>
        <v>3</v>
      </c>
      <c r="AI10" s="106" t="str">
        <f>'Carga horaria'!A10</f>
        <v>Educ. Física I</v>
      </c>
      <c r="AJ10" s="6">
        <f>'Carga horaria'!B10</f>
        <v>2</v>
      </c>
      <c r="AK10" s="112"/>
      <c r="AL10" s="113" t="str">
        <f t="shared" si="0"/>
        <v xml:space="preserve">Educ. Física I - </v>
      </c>
      <c r="AM10" s="114">
        <f t="shared" si="1"/>
        <v>2</v>
      </c>
      <c r="AO10" s="106" t="str">
        <f>'Carga horaria'!A10</f>
        <v>Educ. Física I</v>
      </c>
      <c r="AP10" s="6">
        <f>'Carga horaria'!B10</f>
        <v>2</v>
      </c>
      <c r="AQ10" s="112"/>
      <c r="AR10" s="113" t="str">
        <f t="shared" si="2"/>
        <v xml:space="preserve">Educ. Física I - </v>
      </c>
      <c r="AS10" s="114">
        <f t="shared" si="3"/>
        <v>2</v>
      </c>
      <c r="AT10" s="24"/>
      <c r="AU10" s="106" t="str">
        <f>'Carga horaria'!A10</f>
        <v>Educ. Física I</v>
      </c>
      <c r="AV10" s="6">
        <f>'Carga horaria'!B10</f>
        <v>2</v>
      </c>
      <c r="AW10" s="112"/>
      <c r="AX10" s="113" t="str">
        <f t="shared" si="4"/>
        <v xml:space="preserve">Educ. Física I - </v>
      </c>
      <c r="AY10" s="114">
        <f t="shared" si="5"/>
        <v>2</v>
      </c>
      <c r="BA10" s="106" t="str">
        <f>'Carga horaria'!A10</f>
        <v>Educ. Física I</v>
      </c>
      <c r="BB10" s="6">
        <f>'Carga horaria'!B10</f>
        <v>2</v>
      </c>
      <c r="BC10" s="112"/>
      <c r="BD10" s="113" t="str">
        <f t="shared" si="6"/>
        <v xml:space="preserve">Educ. Física I - </v>
      </c>
      <c r="BE10" s="114">
        <f t="shared" si="7"/>
        <v>2</v>
      </c>
    </row>
    <row r="11" spans="1:57" ht="16" thickBot="1" x14ac:dyDescent="0.25">
      <c r="A11" s="371"/>
      <c r="B11" s="90">
        <v>8</v>
      </c>
      <c r="C11" s="255" t="s">
        <v>468</v>
      </c>
      <c r="D11" s="256" t="s">
        <v>501</v>
      </c>
      <c r="E11" s="257"/>
      <c r="F11" s="257"/>
      <c r="G11" s="257"/>
      <c r="H11" s="257"/>
      <c r="I11" s="257"/>
      <c r="J11" s="258" t="s">
        <v>530</v>
      </c>
      <c r="K11" s="257" t="s">
        <v>532</v>
      </c>
      <c r="L11" s="257"/>
      <c r="M11" s="257"/>
      <c r="N11" s="257"/>
      <c r="O11" s="257"/>
      <c r="P11" s="257" t="s">
        <v>486</v>
      </c>
      <c r="Q11" s="297"/>
      <c r="R11" s="297"/>
      <c r="S11" s="297"/>
      <c r="T11" s="88"/>
      <c r="U11" s="88"/>
      <c r="V11" s="30" t="str">
        <f>IF(eColision(D11:U11),"X","")</f>
        <v/>
      </c>
      <c r="W11" s="25" t="str">
        <f>'Carga horaria'!A10</f>
        <v>Educ. Física I</v>
      </c>
      <c r="X11" s="6">
        <f>'Carga horaria'!B10</f>
        <v>2</v>
      </c>
      <c r="Y11" s="112" t="str">
        <f>'EST24'!E11</f>
        <v>MACEDONIO</v>
      </c>
      <c r="Z11" s="113" t="str">
        <f t="shared" si="11"/>
        <v>Educ. Física I - MACEDONIO</v>
      </c>
      <c r="AA11" s="114">
        <f t="shared" si="8"/>
        <v>0</v>
      </c>
      <c r="AB11" s="7"/>
      <c r="AC11" s="106" t="str">
        <f>'Carga horaria'!A10</f>
        <v>Educ. Física I</v>
      </c>
      <c r="AD11" s="6">
        <f>'Carga horaria'!B10</f>
        <v>2</v>
      </c>
      <c r="AE11" s="112">
        <f>'EST24'!G11</f>
        <v>0</v>
      </c>
      <c r="AF11" s="113" t="str">
        <f t="shared" si="9"/>
        <v>Educ. Física I - 0</v>
      </c>
      <c r="AG11" s="114">
        <f t="shared" si="10"/>
        <v>2</v>
      </c>
      <c r="AI11" s="106" t="str">
        <f>'Carga horaria'!A11</f>
        <v>Artes I</v>
      </c>
      <c r="AJ11" s="6">
        <f>'Carga horaria'!B11</f>
        <v>3</v>
      </c>
      <c r="AK11" s="112"/>
      <c r="AL11" s="113" t="str">
        <f t="shared" si="0"/>
        <v xml:space="preserve">Artes I - </v>
      </c>
      <c r="AM11" s="114">
        <f t="shared" si="1"/>
        <v>3</v>
      </c>
      <c r="AO11" s="106" t="str">
        <f>'Carga horaria'!A11</f>
        <v>Artes I</v>
      </c>
      <c r="AP11" s="6">
        <f>'Carga horaria'!B11</f>
        <v>3</v>
      </c>
      <c r="AQ11" s="112"/>
      <c r="AR11" s="113" t="str">
        <f t="shared" si="2"/>
        <v xml:space="preserve">Artes I - </v>
      </c>
      <c r="AS11" s="114">
        <f t="shared" si="3"/>
        <v>3</v>
      </c>
      <c r="AT11" s="24"/>
      <c r="AU11" s="106" t="str">
        <f>'Carga horaria'!A11</f>
        <v>Artes I</v>
      </c>
      <c r="AV11" s="6">
        <f>'Carga horaria'!B11</f>
        <v>3</v>
      </c>
      <c r="AW11" s="112"/>
      <c r="AX11" s="113" t="str">
        <f t="shared" si="4"/>
        <v xml:space="preserve">Artes I - </v>
      </c>
      <c r="AY11" s="114">
        <f t="shared" si="5"/>
        <v>3</v>
      </c>
      <c r="BA11" s="106" t="str">
        <f>'Carga horaria'!A11</f>
        <v>Artes I</v>
      </c>
      <c r="BB11" s="6">
        <f>'Carga horaria'!B11</f>
        <v>3</v>
      </c>
      <c r="BC11" s="112"/>
      <c r="BD11" s="113" t="str">
        <f t="shared" si="6"/>
        <v xml:space="preserve">Artes I - </v>
      </c>
      <c r="BE11" s="114">
        <f t="shared" si="7"/>
        <v>3</v>
      </c>
    </row>
    <row r="12" spans="1:57" ht="16" thickTop="1" x14ac:dyDescent="0.2">
      <c r="A12" s="372" t="s">
        <v>53</v>
      </c>
      <c r="B12" s="337">
        <v>1</v>
      </c>
      <c r="C12" s="338" t="s">
        <v>199</v>
      </c>
      <c r="D12" s="339" t="s">
        <v>533</v>
      </c>
      <c r="E12" s="340"/>
      <c r="F12" s="340"/>
      <c r="G12" s="340"/>
      <c r="H12" s="340"/>
      <c r="I12" s="340"/>
      <c r="J12" s="340" t="s">
        <v>489</v>
      </c>
      <c r="K12" s="340" t="s">
        <v>487</v>
      </c>
      <c r="L12" s="340"/>
      <c r="M12" s="340"/>
      <c r="N12" s="340"/>
      <c r="O12" s="340"/>
      <c r="P12" s="340" t="s">
        <v>478</v>
      </c>
      <c r="Q12" s="298"/>
      <c r="R12" s="298"/>
      <c r="S12" s="298"/>
      <c r="T12" s="49"/>
      <c r="U12" s="49"/>
      <c r="V12" s="32" t="str">
        <f>IF(eColision(D12:U12),"X","")</f>
        <v/>
      </c>
      <c r="W12" s="25" t="str">
        <f>'Carga horaria'!A11</f>
        <v>Artes I</v>
      </c>
      <c r="X12" s="6">
        <f>'Carga horaria'!B11</f>
        <v>3</v>
      </c>
      <c r="Y12" s="112" t="str">
        <f>'EST24'!E12</f>
        <v>GUSTAVO</v>
      </c>
      <c r="Z12" s="113" t="str">
        <f t="shared" si="11"/>
        <v>Artes I - GUSTAVO</v>
      </c>
      <c r="AA12" s="114">
        <f t="shared" si="8"/>
        <v>0</v>
      </c>
      <c r="AB12" s="7"/>
      <c r="AC12" s="106" t="str">
        <f>'Carga horaria'!A11</f>
        <v>Artes I</v>
      </c>
      <c r="AD12" s="6">
        <f>'Carga horaria'!B11</f>
        <v>3</v>
      </c>
      <c r="AE12" s="112">
        <f>'EST24'!G12</f>
        <v>0</v>
      </c>
      <c r="AF12" s="113" t="str">
        <f t="shared" si="9"/>
        <v>Artes I - 0</v>
      </c>
      <c r="AG12" s="114">
        <f t="shared" si="10"/>
        <v>3</v>
      </c>
      <c r="AI12" s="106" t="str">
        <f>'Carga horaria'!A12</f>
        <v>Tutoría</v>
      </c>
      <c r="AJ12" s="6">
        <f>'Carga horaria'!B12</f>
        <v>1</v>
      </c>
      <c r="AK12" s="112"/>
      <c r="AL12" s="113" t="str">
        <f t="shared" si="0"/>
        <v xml:space="preserve">Tutoría - </v>
      </c>
      <c r="AM12" s="114">
        <f t="shared" si="1"/>
        <v>1</v>
      </c>
      <c r="AO12" s="106" t="str">
        <f>'Carga horaria'!A12</f>
        <v>Tutoría</v>
      </c>
      <c r="AP12" s="6">
        <f>'Carga horaria'!B12</f>
        <v>1</v>
      </c>
      <c r="AQ12" s="112"/>
      <c r="AR12" s="113" t="str">
        <f t="shared" si="2"/>
        <v xml:space="preserve">Tutoría - </v>
      </c>
      <c r="AS12" s="114">
        <f t="shared" si="3"/>
        <v>1</v>
      </c>
      <c r="AT12" s="24"/>
      <c r="AU12" s="106" t="str">
        <f>'Carga horaria'!A12</f>
        <v>Tutoría</v>
      </c>
      <c r="AV12" s="6">
        <f>'Carga horaria'!B12</f>
        <v>1</v>
      </c>
      <c r="AW12" s="112"/>
      <c r="AX12" s="113" t="str">
        <f t="shared" si="4"/>
        <v xml:space="preserve">Tutoría - </v>
      </c>
      <c r="AY12" s="114">
        <f t="shared" si="5"/>
        <v>1</v>
      </c>
      <c r="BA12" s="106" t="str">
        <f>'Carga horaria'!A12</f>
        <v>Tutoría</v>
      </c>
      <c r="BB12" s="6">
        <f>'Carga horaria'!B12</f>
        <v>1</v>
      </c>
      <c r="BC12" s="112"/>
      <c r="BD12" s="113" t="str">
        <f t="shared" si="6"/>
        <v xml:space="preserve">Tutoría - </v>
      </c>
      <c r="BE12" s="114">
        <f t="shared" si="7"/>
        <v>1</v>
      </c>
    </row>
    <row r="13" spans="1:57" ht="16.5" customHeight="1" x14ac:dyDescent="0.2">
      <c r="A13" s="373"/>
      <c r="B13" s="341">
        <v>2</v>
      </c>
      <c r="C13" s="342" t="s">
        <v>198</v>
      </c>
      <c r="D13" s="343" t="s">
        <v>533</v>
      </c>
      <c r="E13" s="344"/>
      <c r="F13" s="344"/>
      <c r="G13" s="344"/>
      <c r="H13" s="344"/>
      <c r="I13" s="344"/>
      <c r="J13" s="345" t="s">
        <v>482</v>
      </c>
      <c r="K13" s="344" t="s">
        <v>487</v>
      </c>
      <c r="L13" s="344"/>
      <c r="M13" s="344"/>
      <c r="N13" s="344"/>
      <c r="O13" s="344"/>
      <c r="P13" s="344" t="s">
        <v>490</v>
      </c>
      <c r="Q13" s="118"/>
      <c r="R13" s="118"/>
      <c r="S13" s="118"/>
      <c r="T13" s="43"/>
      <c r="U13" s="43"/>
      <c r="V13" s="29" t="str">
        <f>IF(eColision(D13:U13),"X","")</f>
        <v/>
      </c>
      <c r="W13" s="25" t="str">
        <f>'Carga horaria'!A12</f>
        <v>Tutoría</v>
      </c>
      <c r="X13" s="6">
        <f>'Carga horaria'!B12</f>
        <v>1</v>
      </c>
      <c r="Y13" s="112" t="str">
        <f>'EST24'!E13</f>
        <v>RAUL</v>
      </c>
      <c r="Z13" s="113" t="str">
        <f t="shared" si="11"/>
        <v>Tutoría - RAUL</v>
      </c>
      <c r="AA13" s="114">
        <f t="shared" si="8"/>
        <v>0</v>
      </c>
      <c r="AB13" s="7"/>
      <c r="AC13" s="106" t="str">
        <f>'Carga horaria'!A12</f>
        <v>Tutoría</v>
      </c>
      <c r="AD13" s="6">
        <f>'Carga horaria'!B12</f>
        <v>1</v>
      </c>
      <c r="AE13" s="112">
        <f>'EST24'!G13</f>
        <v>0</v>
      </c>
      <c r="AF13" s="113" t="str">
        <f t="shared" si="9"/>
        <v>Tutoría - 0</v>
      </c>
      <c r="AG13" s="114">
        <f t="shared" si="10"/>
        <v>1</v>
      </c>
      <c r="AI13" s="106" t="str">
        <f>'Carga horaria'!A14</f>
        <v>A. Curricular</v>
      </c>
      <c r="AJ13" s="6">
        <f>'Carga horaria'!B14</f>
        <v>1</v>
      </c>
      <c r="AK13" s="112"/>
      <c r="AL13" s="113" t="str">
        <f t="shared" ref="AL13" si="12">CONCATENATE(AI13," - ", AK13)</f>
        <v xml:space="preserve">A. Curricular - </v>
      </c>
      <c r="AM13" s="114">
        <f t="shared" ref="AM13" si="13">AJ13-COUNTIF(hpC,AL13)</f>
        <v>1</v>
      </c>
      <c r="AO13" s="106" t="str">
        <f>'Carga horaria'!A14</f>
        <v>A. Curricular</v>
      </c>
      <c r="AP13" s="6">
        <f>'Carga horaria'!B14</f>
        <v>1</v>
      </c>
      <c r="AQ13" s="112"/>
      <c r="AR13" s="113" t="str">
        <f t="shared" ref="AR13" si="14">CONCATENATE(AO13," - ", AQ13)</f>
        <v xml:space="preserve">A. Curricular - </v>
      </c>
      <c r="AS13" s="114">
        <f t="shared" ref="AS13" si="15">AP13-COUNTIF(hpD,AR13)</f>
        <v>1</v>
      </c>
      <c r="AT13" s="24"/>
      <c r="AU13" s="106" t="str">
        <f>'Carga horaria'!A14</f>
        <v>A. Curricular</v>
      </c>
      <c r="AV13" s="6">
        <f>'Carga horaria'!B14</f>
        <v>1</v>
      </c>
      <c r="AW13" s="112"/>
      <c r="AX13" s="113" t="str">
        <f t="shared" ref="AX13" si="16">CONCATENATE(AU13," - ", AW13)</f>
        <v xml:space="preserve">A. Curricular - </v>
      </c>
      <c r="AY13" s="114">
        <f t="shared" ref="AY13" si="17">AV13-COUNTIF(hpE,AX13)</f>
        <v>1</v>
      </c>
      <c r="BA13" s="106" t="str">
        <f>'Carga horaria'!A14</f>
        <v>A. Curricular</v>
      </c>
      <c r="BB13" s="6">
        <f>'Carga horaria'!B14</f>
        <v>1</v>
      </c>
      <c r="BC13" s="112"/>
      <c r="BD13" s="113" t="str">
        <f t="shared" ref="BD13" si="18">CONCATENATE(BA13," - ", BC13)</f>
        <v xml:space="preserve">A. Curricular - </v>
      </c>
      <c r="BE13" s="114">
        <f t="shared" ref="BE13" si="19">BB13-COUNTIF(hpF,BD13)</f>
        <v>1</v>
      </c>
    </row>
    <row r="14" spans="1:57" x14ac:dyDescent="0.2">
      <c r="A14" s="373"/>
      <c r="B14" s="341">
        <v>3</v>
      </c>
      <c r="C14" s="342" t="s">
        <v>439</v>
      </c>
      <c r="D14" s="343" t="s">
        <v>483</v>
      </c>
      <c r="E14" s="344"/>
      <c r="F14" s="344"/>
      <c r="G14" s="344"/>
      <c r="H14" s="344"/>
      <c r="I14" s="344"/>
      <c r="J14" s="344" t="s">
        <v>487</v>
      </c>
      <c r="K14" s="344" t="s">
        <v>489</v>
      </c>
      <c r="L14" s="344"/>
      <c r="M14" s="344"/>
      <c r="N14" s="344"/>
      <c r="O14" s="344"/>
      <c r="P14" s="344" t="s">
        <v>476</v>
      </c>
      <c r="Q14" s="118"/>
      <c r="R14" s="118"/>
      <c r="S14" s="118"/>
      <c r="T14" s="43"/>
      <c r="U14" s="43"/>
      <c r="V14" s="29" t="str">
        <f>IF(eColision(D14:U14),"X","")</f>
        <v/>
      </c>
      <c r="W14" s="25" t="str">
        <f>'Carga horaria'!A13</f>
        <v>Tecnología</v>
      </c>
      <c r="X14" s="6">
        <f>'Carga horaria'!B13</f>
        <v>8</v>
      </c>
      <c r="Y14" s="112" t="str">
        <f>'EST24'!E14</f>
        <v>MACEDONIO</v>
      </c>
      <c r="Z14" s="113" t="str">
        <f t="shared" ref="Z14" si="20">CONCATENATE(W14," - ", Y14)</f>
        <v>Tecnología - MACEDONIO</v>
      </c>
      <c r="AA14" s="114">
        <f t="shared" ref="AA14" si="21">X14-COUNTIF(hpA,Z14)</f>
        <v>0</v>
      </c>
      <c r="AB14" s="7"/>
      <c r="AC14" s="106" t="str">
        <f>'Carga horaria'!A13</f>
        <v>Tecnología</v>
      </c>
      <c r="AD14" s="6">
        <f>'Carga horaria'!B13</f>
        <v>8</v>
      </c>
      <c r="AE14" s="112">
        <f>'EST24'!G14</f>
        <v>0</v>
      </c>
      <c r="AF14" s="113" t="str">
        <f t="shared" ref="AF14" si="22">CONCATENATE(W14," - ", AE14)</f>
        <v>Tecnología - 0</v>
      </c>
      <c r="AG14" s="114">
        <f t="shared" ref="AG14" si="23">AD14-COUNTIF(hpB,AF14)</f>
        <v>8</v>
      </c>
      <c r="AI14" s="367" t="s">
        <v>15</v>
      </c>
      <c r="AJ14" s="365" t="s">
        <v>111</v>
      </c>
      <c r="AK14" s="355" t="s">
        <v>241</v>
      </c>
      <c r="AL14" s="356"/>
      <c r="AM14" s="357"/>
      <c r="AO14" s="367" t="s">
        <v>15</v>
      </c>
      <c r="AP14" s="365" t="s">
        <v>111</v>
      </c>
      <c r="AQ14" s="355" t="s">
        <v>267</v>
      </c>
      <c r="AR14" s="356"/>
      <c r="AS14" s="357"/>
      <c r="AT14" s="24"/>
      <c r="AU14" s="367" t="s">
        <v>15</v>
      </c>
      <c r="AV14" s="365" t="s">
        <v>111</v>
      </c>
      <c r="AW14" s="355" t="s">
        <v>268</v>
      </c>
      <c r="AX14" s="356"/>
      <c r="AY14" s="357"/>
      <c r="BA14" s="367" t="s">
        <v>15</v>
      </c>
      <c r="BB14" s="365" t="s">
        <v>111</v>
      </c>
      <c r="BC14" s="355" t="s">
        <v>269</v>
      </c>
      <c r="BD14" s="356"/>
      <c r="BE14" s="357"/>
    </row>
    <row r="15" spans="1:57" ht="16" x14ac:dyDescent="0.2">
      <c r="A15" s="373"/>
      <c r="B15" s="341">
        <v>4</v>
      </c>
      <c r="C15" s="342" t="s">
        <v>440</v>
      </c>
      <c r="D15" s="343" t="s">
        <v>501</v>
      </c>
      <c r="E15" s="344"/>
      <c r="F15" s="344"/>
      <c r="G15" s="344"/>
      <c r="H15" s="344"/>
      <c r="I15" s="344"/>
      <c r="J15" s="344" t="s">
        <v>496</v>
      </c>
      <c r="K15" s="344" t="s">
        <v>482</v>
      </c>
      <c r="L15" s="344"/>
      <c r="M15" s="344"/>
      <c r="N15" s="344"/>
      <c r="O15" s="344"/>
      <c r="P15" s="344" t="s">
        <v>486</v>
      </c>
      <c r="Q15" s="118"/>
      <c r="R15" s="118"/>
      <c r="S15" s="118"/>
      <c r="T15" s="43"/>
      <c r="U15" s="81"/>
      <c r="V15" s="29" t="str">
        <f>IF(eColision(D15:U15),"X","")</f>
        <v/>
      </c>
      <c r="W15" s="25" t="str">
        <f>'Carga horaria'!A14</f>
        <v>A. Curricular</v>
      </c>
      <c r="X15" s="6">
        <f>'Carga horaria'!B14</f>
        <v>1</v>
      </c>
      <c r="Y15" s="112" t="str">
        <f>'EST24'!E15</f>
        <v>MACEDONIO</v>
      </c>
      <c r="Z15" s="113" t="str">
        <f t="shared" ref="Z15" si="24">CONCATENATE(W15," - ", Y15)</f>
        <v>A. Curricular - MACEDONIO</v>
      </c>
      <c r="AA15" s="114">
        <f t="shared" ref="AA15" si="25">X15-COUNTIF(hpA,Z15)</f>
        <v>0</v>
      </c>
      <c r="AC15" s="106" t="str">
        <f>'Carga horaria'!A14</f>
        <v>A. Curricular</v>
      </c>
      <c r="AD15" s="6">
        <f>'Carga horaria'!B14</f>
        <v>1</v>
      </c>
      <c r="AE15" s="112">
        <f>'EST24'!G15</f>
        <v>0</v>
      </c>
      <c r="AF15" s="113" t="str">
        <f t="shared" ref="AF15" si="26">CONCATENATE(W15," - ", AE15)</f>
        <v>A. Curricular - 0</v>
      </c>
      <c r="AG15" s="114">
        <f t="shared" ref="AG15" si="27">AD15-COUNTIF(hpB,AF15)</f>
        <v>1</v>
      </c>
      <c r="AI15" s="368"/>
      <c r="AJ15" s="366"/>
      <c r="AK15" s="110" t="s">
        <v>60</v>
      </c>
      <c r="AL15" s="110" t="s">
        <v>65</v>
      </c>
      <c r="AM15" s="111" t="s">
        <v>66</v>
      </c>
      <c r="AO15" s="368"/>
      <c r="AP15" s="366"/>
      <c r="AQ15" s="110" t="s">
        <v>60</v>
      </c>
      <c r="AR15" s="110" t="s">
        <v>65</v>
      </c>
      <c r="AS15" s="111" t="s">
        <v>66</v>
      </c>
      <c r="AT15" s="24"/>
      <c r="AU15" s="368"/>
      <c r="AV15" s="366"/>
      <c r="AW15" s="110" t="s">
        <v>60</v>
      </c>
      <c r="AX15" s="110" t="s">
        <v>65</v>
      </c>
      <c r="AY15" s="111" t="s">
        <v>66</v>
      </c>
      <c r="BA15" s="368"/>
      <c r="BB15" s="366"/>
      <c r="BC15" s="110" t="s">
        <v>60</v>
      </c>
      <c r="BD15" s="110" t="s">
        <v>65</v>
      </c>
      <c r="BE15" s="111" t="s">
        <v>66</v>
      </c>
    </row>
    <row r="16" spans="1:57" ht="16.5" customHeight="1" x14ac:dyDescent="0.2">
      <c r="A16" s="373"/>
      <c r="B16" s="341">
        <v>5</v>
      </c>
      <c r="C16" s="342" t="s">
        <v>441</v>
      </c>
      <c r="D16" s="343" t="s">
        <v>501</v>
      </c>
      <c r="E16" s="344"/>
      <c r="F16" s="344"/>
      <c r="G16" s="344"/>
      <c r="H16" s="344"/>
      <c r="I16" s="344"/>
      <c r="J16" s="344" t="s">
        <v>477</v>
      </c>
      <c r="K16" s="344" t="s">
        <v>504</v>
      </c>
      <c r="L16" s="344"/>
      <c r="M16" s="344"/>
      <c r="N16" s="344"/>
      <c r="O16" s="344"/>
      <c r="P16" s="344" t="s">
        <v>495</v>
      </c>
      <c r="Q16" s="118"/>
      <c r="R16" s="118"/>
      <c r="S16" s="118"/>
      <c r="T16" s="43"/>
      <c r="U16" s="43"/>
      <c r="V16" s="29" t="str">
        <f>IF(eColision(D16:U16),"X","")</f>
        <v/>
      </c>
      <c r="AI16" s="106" t="str">
        <f>'Carga horaria'!D3</f>
        <v>Español II</v>
      </c>
      <c r="AJ16" s="6">
        <f>'Carga horaria'!E3</f>
        <v>5</v>
      </c>
      <c r="AK16" s="112"/>
      <c r="AL16" s="113" t="str">
        <f t="shared" ref="AL16:AL25" si="28">CONCATENATE(AI16," - ", AK16)</f>
        <v xml:space="preserve">Español II - </v>
      </c>
      <c r="AM16" s="114">
        <f t="shared" ref="AM16:AM25" si="29">AJ16-COUNTIF(hsC,AL16)</f>
        <v>5</v>
      </c>
      <c r="AO16" s="106" t="str">
        <f>'Carga horaria'!D3</f>
        <v>Español II</v>
      </c>
      <c r="AP16" s="6">
        <f>'Carga horaria'!E3</f>
        <v>5</v>
      </c>
      <c r="AQ16" s="112" t="s">
        <v>303</v>
      </c>
      <c r="AR16" s="113" t="str">
        <f t="shared" ref="AR16:AR25" si="30">CONCATENATE(AO16," - ", AQ16)</f>
        <v>Español II - M. Ángeles</v>
      </c>
      <c r="AS16" s="114">
        <f t="shared" ref="AS16:AS25" si="31">AP16-COUNTIF(hsD,AR16)</f>
        <v>5</v>
      </c>
      <c r="AT16" s="24"/>
      <c r="AU16" s="106" t="str">
        <f>'Carga horaria'!D3</f>
        <v>Español II</v>
      </c>
      <c r="AV16" s="6">
        <f>'Carga horaria'!E3</f>
        <v>5</v>
      </c>
      <c r="AW16" s="112"/>
      <c r="AX16" s="113" t="str">
        <f t="shared" ref="AX16:AX25" si="32">CONCATENATE(AU16," - ", AW16)</f>
        <v xml:space="preserve">Español II - </v>
      </c>
      <c r="AY16" s="114">
        <f t="shared" ref="AY16:AY25" si="33">AV16-COUNTIF(hsE,AX16)</f>
        <v>5</v>
      </c>
      <c r="BA16" s="106" t="str">
        <f>'Carga horaria'!D3</f>
        <v>Español II</v>
      </c>
      <c r="BB16" s="6">
        <f>'Carga horaria'!E3</f>
        <v>5</v>
      </c>
      <c r="BC16" s="112"/>
      <c r="BD16" s="113" t="str">
        <f t="shared" ref="BD16:BD25" si="34">CONCATENATE(BA16," - ", BC16)</f>
        <v xml:space="preserve">Español II - </v>
      </c>
      <c r="BE16" s="114">
        <f t="shared" ref="BE16:BE25" si="35">BB16-COUNTIF(hsF,BD16)</f>
        <v>5</v>
      </c>
    </row>
    <row r="17" spans="1:57" x14ac:dyDescent="0.2">
      <c r="A17" s="373"/>
      <c r="B17" s="341">
        <v>6</v>
      </c>
      <c r="C17" s="342" t="s">
        <v>466</v>
      </c>
      <c r="D17" s="343" t="s">
        <v>498</v>
      </c>
      <c r="E17" s="344"/>
      <c r="F17" s="344"/>
      <c r="G17" s="344"/>
      <c r="H17" s="344"/>
      <c r="I17" s="344"/>
      <c r="J17" s="344" t="s">
        <v>530</v>
      </c>
      <c r="K17" s="344" t="s">
        <v>477</v>
      </c>
      <c r="L17" s="344"/>
      <c r="M17" s="344"/>
      <c r="N17" s="344"/>
      <c r="O17" s="344"/>
      <c r="P17" s="344" t="s">
        <v>525</v>
      </c>
      <c r="Q17" s="118"/>
      <c r="R17" s="118"/>
      <c r="S17" s="118"/>
      <c r="T17" s="43"/>
      <c r="U17" s="43"/>
      <c r="V17" s="29" t="str">
        <f>IF(eColision(D17:U17),"X","")</f>
        <v/>
      </c>
      <c r="W17" s="392" t="s">
        <v>15</v>
      </c>
      <c r="X17" s="390" t="s">
        <v>111</v>
      </c>
      <c r="Y17" s="355" t="s">
        <v>47</v>
      </c>
      <c r="Z17" s="356"/>
      <c r="AA17" s="357"/>
      <c r="AB17" s="7"/>
      <c r="AC17" s="392" t="s">
        <v>15</v>
      </c>
      <c r="AD17" s="390" t="s">
        <v>111</v>
      </c>
      <c r="AE17" s="355" t="s">
        <v>63</v>
      </c>
      <c r="AF17" s="356"/>
      <c r="AG17" s="357"/>
      <c r="AI17" s="106" t="str">
        <f>'Carga horaria'!D4</f>
        <v>Matemáticas II</v>
      </c>
      <c r="AJ17" s="6">
        <f>'Carga horaria'!E4</f>
        <v>5</v>
      </c>
      <c r="AK17" s="112"/>
      <c r="AL17" s="113" t="str">
        <f t="shared" si="28"/>
        <v xml:space="preserve">Matemáticas II - </v>
      </c>
      <c r="AM17" s="114">
        <f t="shared" si="29"/>
        <v>5</v>
      </c>
      <c r="AO17" s="106" t="str">
        <f>'Carga horaria'!D4</f>
        <v>Matemáticas II</v>
      </c>
      <c r="AP17" s="6">
        <f>'Carga horaria'!E4</f>
        <v>5</v>
      </c>
      <c r="AQ17" s="112" t="s">
        <v>305</v>
      </c>
      <c r="AR17" s="113" t="str">
        <f t="shared" si="30"/>
        <v>Matemáticas II - Manuel R.</v>
      </c>
      <c r="AS17" s="114">
        <f t="shared" si="31"/>
        <v>5</v>
      </c>
      <c r="AT17" s="24"/>
      <c r="AU17" s="106" t="str">
        <f>'Carga horaria'!D4</f>
        <v>Matemáticas II</v>
      </c>
      <c r="AV17" s="6">
        <f>'Carga horaria'!E4</f>
        <v>5</v>
      </c>
      <c r="AW17" s="112"/>
      <c r="AX17" s="113" t="str">
        <f t="shared" si="32"/>
        <v xml:space="preserve">Matemáticas II - </v>
      </c>
      <c r="AY17" s="114">
        <f t="shared" si="33"/>
        <v>5</v>
      </c>
      <c r="BA17" s="106" t="str">
        <f>'Carga horaria'!D4</f>
        <v>Matemáticas II</v>
      </c>
      <c r="BB17" s="6">
        <f>'Carga horaria'!E4</f>
        <v>5</v>
      </c>
      <c r="BC17" s="112"/>
      <c r="BD17" s="113" t="str">
        <f t="shared" si="34"/>
        <v xml:space="preserve">Matemáticas II - </v>
      </c>
      <c r="BE17" s="114">
        <f t="shared" si="35"/>
        <v>5</v>
      </c>
    </row>
    <row r="18" spans="1:57" ht="16.5" customHeight="1" x14ac:dyDescent="0.2">
      <c r="A18" s="373"/>
      <c r="B18" s="346">
        <v>7</v>
      </c>
      <c r="C18" s="342" t="s">
        <v>467</v>
      </c>
      <c r="D18" s="343" t="s">
        <v>529</v>
      </c>
      <c r="E18" s="344"/>
      <c r="F18" s="344"/>
      <c r="G18" s="344"/>
      <c r="H18" s="344"/>
      <c r="I18" s="344"/>
      <c r="J18" s="344" t="s">
        <v>530</v>
      </c>
      <c r="K18" s="344" t="s">
        <v>502</v>
      </c>
      <c r="L18" s="344"/>
      <c r="M18" s="344"/>
      <c r="N18" s="344"/>
      <c r="O18" s="344"/>
      <c r="P18" s="344" t="s">
        <v>499</v>
      </c>
      <c r="Q18" s="118"/>
      <c r="R18" s="118"/>
      <c r="S18" s="118"/>
      <c r="T18" s="43"/>
      <c r="U18" s="81"/>
      <c r="V18" s="29" t="str">
        <f>IF(eColision(D18:U18),"X","")</f>
        <v/>
      </c>
      <c r="W18" s="393"/>
      <c r="X18" s="391"/>
      <c r="Y18" s="110" t="s">
        <v>60</v>
      </c>
      <c r="Z18" s="110" t="s">
        <v>65</v>
      </c>
      <c r="AA18" s="111" t="s">
        <v>66</v>
      </c>
      <c r="AB18" s="7"/>
      <c r="AC18" s="393"/>
      <c r="AD18" s="391"/>
      <c r="AE18" s="110" t="s">
        <v>60</v>
      </c>
      <c r="AF18" s="110" t="s">
        <v>65</v>
      </c>
      <c r="AG18" s="111" t="s">
        <v>66</v>
      </c>
      <c r="AI18" s="106" t="str">
        <f>'Carga horaria'!D5</f>
        <v>Ciencias II</v>
      </c>
      <c r="AJ18" s="6">
        <f>'Carga horaria'!E5</f>
        <v>6</v>
      </c>
      <c r="AK18" s="112"/>
      <c r="AL18" s="113" t="str">
        <f t="shared" si="28"/>
        <v xml:space="preserve">Ciencias II - </v>
      </c>
      <c r="AM18" s="114">
        <f t="shared" si="29"/>
        <v>6</v>
      </c>
      <c r="AO18" s="106" t="str">
        <f>'Carga horaria'!D5</f>
        <v>Ciencias II</v>
      </c>
      <c r="AP18" s="6">
        <f>'Carga horaria'!E5</f>
        <v>6</v>
      </c>
      <c r="AQ18" s="112" t="s">
        <v>307</v>
      </c>
      <c r="AR18" s="113" t="str">
        <f t="shared" si="30"/>
        <v>Ciencias II - Victoria N.</v>
      </c>
      <c r="AS18" s="114">
        <f t="shared" si="31"/>
        <v>6</v>
      </c>
      <c r="AT18" s="24"/>
      <c r="AU18" s="106" t="str">
        <f>'Carga horaria'!D5</f>
        <v>Ciencias II</v>
      </c>
      <c r="AV18" s="6">
        <f>'Carga horaria'!E5</f>
        <v>6</v>
      </c>
      <c r="AW18" s="112"/>
      <c r="AX18" s="113" t="str">
        <f t="shared" si="32"/>
        <v xml:space="preserve">Ciencias II - </v>
      </c>
      <c r="AY18" s="114">
        <f t="shared" si="33"/>
        <v>6</v>
      </c>
      <c r="BA18" s="106" t="str">
        <f>'Carga horaria'!D5</f>
        <v>Ciencias II</v>
      </c>
      <c r="BB18" s="6">
        <f>'Carga horaria'!E5</f>
        <v>6</v>
      </c>
      <c r="BC18" s="112"/>
      <c r="BD18" s="113" t="str">
        <f t="shared" si="34"/>
        <v xml:space="preserve">Ciencias II - </v>
      </c>
      <c r="BE18" s="114">
        <f t="shared" si="35"/>
        <v>6</v>
      </c>
    </row>
    <row r="19" spans="1:57" ht="16" thickBot="1" x14ac:dyDescent="0.25">
      <c r="A19" s="374"/>
      <c r="B19" s="347">
        <v>8</v>
      </c>
      <c r="C19" s="348" t="s">
        <v>468</v>
      </c>
      <c r="D19" s="349" t="s">
        <v>529</v>
      </c>
      <c r="E19" s="350"/>
      <c r="F19" s="350"/>
      <c r="G19" s="350"/>
      <c r="H19" s="350"/>
      <c r="I19" s="350"/>
      <c r="J19" s="351" t="s">
        <v>530</v>
      </c>
      <c r="K19" s="350" t="s">
        <v>502</v>
      </c>
      <c r="L19" s="350"/>
      <c r="M19" s="350"/>
      <c r="N19" s="350"/>
      <c r="O19" s="350"/>
      <c r="P19" s="350" t="s">
        <v>497</v>
      </c>
      <c r="Q19" s="297"/>
      <c r="R19" s="297"/>
      <c r="S19" s="297"/>
      <c r="T19" s="88"/>
      <c r="U19" s="88"/>
      <c r="V19" s="30" t="str">
        <f>IF(eColision(D19:U19),"X","")</f>
        <v/>
      </c>
      <c r="W19" s="25" t="str">
        <f>'Carga horaria'!D3</f>
        <v>Español II</v>
      </c>
      <c r="X19" s="6">
        <f>'Carga horaria'!E3</f>
        <v>5</v>
      </c>
      <c r="Y19" s="112" t="str">
        <f>'EST24'!E16</f>
        <v>RAUL</v>
      </c>
      <c r="Z19" s="113" t="str">
        <f>CONCATENATE(W19," - ", Y19)</f>
        <v>Español II - RAUL</v>
      </c>
      <c r="AA19" s="114">
        <f t="shared" ref="AA19:AA28" si="36">X19-COUNTIF(hsA,Z19)</f>
        <v>0</v>
      </c>
      <c r="AB19" s="7"/>
      <c r="AC19" s="106" t="str">
        <f>'Carga horaria'!D3</f>
        <v>Español II</v>
      </c>
      <c r="AD19" s="6">
        <f>'Carga horaria'!E3</f>
        <v>5</v>
      </c>
      <c r="AE19" s="112" t="str">
        <f>'EST24'!G16</f>
        <v>RAUL</v>
      </c>
      <c r="AF19" s="113" t="str">
        <f t="shared" ref="AF19:AF28" si="37">CONCATENATE(AC19," - ", AE19)</f>
        <v>Español II - RAUL</v>
      </c>
      <c r="AG19" s="114">
        <f t="shared" ref="AG19:AG28" si="38">AD19-COUNTIF(hsB,AF19)</f>
        <v>0</v>
      </c>
      <c r="AI19" s="106" t="str">
        <f>'Carga horaria'!D6</f>
        <v>Historia II</v>
      </c>
      <c r="AJ19" s="6">
        <f>'Carga horaria'!E6</f>
        <v>4</v>
      </c>
      <c r="AK19" s="112"/>
      <c r="AL19" s="113" t="str">
        <f t="shared" si="28"/>
        <v xml:space="preserve">Historia II - </v>
      </c>
      <c r="AM19" s="114">
        <f t="shared" si="29"/>
        <v>4</v>
      </c>
      <c r="AO19" s="106" t="str">
        <f>'Carga horaria'!D6</f>
        <v>Historia II</v>
      </c>
      <c r="AP19" s="6">
        <f>'Carga horaria'!E6</f>
        <v>4</v>
      </c>
      <c r="AQ19" s="112" t="s">
        <v>308</v>
      </c>
      <c r="AR19" s="113" t="str">
        <f t="shared" si="30"/>
        <v>Historia II - Hector J.</v>
      </c>
      <c r="AS19" s="114">
        <f t="shared" si="31"/>
        <v>4</v>
      </c>
      <c r="AT19" s="24"/>
      <c r="AU19" s="106" t="str">
        <f>'Carga horaria'!D6</f>
        <v>Historia II</v>
      </c>
      <c r="AV19" s="6">
        <f>'Carga horaria'!E6</f>
        <v>4</v>
      </c>
      <c r="AW19" s="112"/>
      <c r="AX19" s="113" t="str">
        <f t="shared" si="32"/>
        <v xml:space="preserve">Historia II - </v>
      </c>
      <c r="AY19" s="114">
        <f t="shared" si="33"/>
        <v>4</v>
      </c>
      <c r="BA19" s="106" t="str">
        <f>'Carga horaria'!D6</f>
        <v>Historia II</v>
      </c>
      <c r="BB19" s="6">
        <f>'Carga horaria'!E6</f>
        <v>4</v>
      </c>
      <c r="BC19" s="112"/>
      <c r="BD19" s="113" t="str">
        <f t="shared" si="34"/>
        <v xml:space="preserve">Historia II - </v>
      </c>
      <c r="BE19" s="114">
        <f t="shared" si="35"/>
        <v>4</v>
      </c>
    </row>
    <row r="20" spans="1:57" ht="16.5" customHeight="1" thickTop="1" x14ac:dyDescent="0.2">
      <c r="A20" s="369" t="s">
        <v>54</v>
      </c>
      <c r="B20" s="75">
        <v>1</v>
      </c>
      <c r="C20" s="77" t="s">
        <v>199</v>
      </c>
      <c r="D20" s="47" t="s">
        <v>483</v>
      </c>
      <c r="E20" s="259"/>
      <c r="F20" s="259"/>
      <c r="G20" s="259"/>
      <c r="H20" s="259"/>
      <c r="I20" s="259"/>
      <c r="J20" s="259" t="s">
        <v>489</v>
      </c>
      <c r="K20" s="259" t="s">
        <v>477</v>
      </c>
      <c r="L20" s="259"/>
      <c r="M20" s="259"/>
      <c r="N20" s="259"/>
      <c r="O20" s="259"/>
      <c r="P20" s="259" t="s">
        <v>478</v>
      </c>
      <c r="Q20" s="298"/>
      <c r="R20" s="298"/>
      <c r="S20" s="298"/>
      <c r="T20" s="49"/>
      <c r="U20" s="49"/>
      <c r="V20" s="32" t="str">
        <f>IF(eColision(D20:U20),"X","")</f>
        <v/>
      </c>
      <c r="W20" s="25" t="str">
        <f>'Carga horaria'!D4</f>
        <v>Matemáticas II</v>
      </c>
      <c r="X20" s="6">
        <f>'Carga horaria'!E4</f>
        <v>5</v>
      </c>
      <c r="Y20" s="112" t="str">
        <f>'EST24'!E17</f>
        <v>MANUEL</v>
      </c>
      <c r="Z20" s="113" t="str">
        <f t="shared" ref="Z20:Z28" si="39">CONCATENATE(W20," - ", Y20)</f>
        <v>Matemáticas II - MANUEL</v>
      </c>
      <c r="AA20" s="114">
        <f t="shared" si="36"/>
        <v>0</v>
      </c>
      <c r="AB20" s="7"/>
      <c r="AC20" s="106" t="str">
        <f>'Carga horaria'!D4</f>
        <v>Matemáticas II</v>
      </c>
      <c r="AD20" s="6">
        <f>'Carga horaria'!E4</f>
        <v>5</v>
      </c>
      <c r="AE20" s="112" t="str">
        <f>'EST24'!G17</f>
        <v>MANUEL</v>
      </c>
      <c r="AF20" s="113" t="str">
        <f t="shared" si="37"/>
        <v>Matemáticas II - MANUEL</v>
      </c>
      <c r="AG20" s="114">
        <f t="shared" si="38"/>
        <v>0</v>
      </c>
      <c r="AI20" s="106" t="str">
        <f>'Carga horaria'!D7</f>
        <v>FCE II</v>
      </c>
      <c r="AJ20" s="6">
        <f>'Carga horaria'!E7</f>
        <v>2</v>
      </c>
      <c r="AK20" s="112"/>
      <c r="AL20" s="113" t="str">
        <f t="shared" si="28"/>
        <v xml:space="preserve">FCE II - </v>
      </c>
      <c r="AM20" s="114">
        <f t="shared" si="29"/>
        <v>2</v>
      </c>
      <c r="AO20" s="106" t="str">
        <f>'Carga horaria'!D7</f>
        <v>FCE II</v>
      </c>
      <c r="AP20" s="6">
        <f>'Carga horaria'!E7</f>
        <v>2</v>
      </c>
      <c r="AQ20" s="112" t="s">
        <v>310</v>
      </c>
      <c r="AR20" s="113" t="str">
        <f t="shared" si="30"/>
        <v>FCE II - Mauricio</v>
      </c>
      <c r="AS20" s="114">
        <f t="shared" si="31"/>
        <v>2</v>
      </c>
      <c r="AT20" s="24"/>
      <c r="AU20" s="106" t="str">
        <f>'Carga horaria'!D7</f>
        <v>FCE II</v>
      </c>
      <c r="AV20" s="6">
        <f>'Carga horaria'!E7</f>
        <v>2</v>
      </c>
      <c r="AW20" s="112"/>
      <c r="AX20" s="113" t="str">
        <f t="shared" si="32"/>
        <v xml:space="preserve">FCE II - </v>
      </c>
      <c r="AY20" s="114">
        <f t="shared" si="33"/>
        <v>2</v>
      </c>
      <c r="BA20" s="106" t="str">
        <f>'Carga horaria'!D7</f>
        <v>FCE II</v>
      </c>
      <c r="BB20" s="6">
        <f>'Carga horaria'!E7</f>
        <v>2</v>
      </c>
      <c r="BC20" s="112"/>
      <c r="BD20" s="113" t="str">
        <f t="shared" si="34"/>
        <v xml:space="preserve">FCE II - </v>
      </c>
      <c r="BE20" s="114">
        <f t="shared" si="35"/>
        <v>2</v>
      </c>
    </row>
    <row r="21" spans="1:57" x14ac:dyDescent="0.2">
      <c r="A21" s="370"/>
      <c r="B21" s="76">
        <v>2</v>
      </c>
      <c r="C21" s="78" t="s">
        <v>198</v>
      </c>
      <c r="D21" s="41" t="s">
        <v>531</v>
      </c>
      <c r="E21" s="119"/>
      <c r="F21" s="119"/>
      <c r="G21" s="119"/>
      <c r="H21" s="119"/>
      <c r="I21" s="119"/>
      <c r="J21" s="119" t="s">
        <v>482</v>
      </c>
      <c r="K21" s="119" t="s">
        <v>489</v>
      </c>
      <c r="L21" s="119"/>
      <c r="M21" s="119"/>
      <c r="N21" s="119"/>
      <c r="O21" s="119"/>
      <c r="P21" s="119" t="s">
        <v>476</v>
      </c>
      <c r="Q21" s="118"/>
      <c r="R21" s="118"/>
      <c r="S21" s="118"/>
      <c r="T21" s="43"/>
      <c r="U21" s="43"/>
      <c r="V21" s="29" t="str">
        <f>IF(eColision(D21:U21),"X","")</f>
        <v/>
      </c>
      <c r="W21" s="25" t="str">
        <f>'Carga horaria'!D5</f>
        <v>Ciencias II</v>
      </c>
      <c r="X21" s="6">
        <f>'Carga horaria'!E5</f>
        <v>6</v>
      </c>
      <c r="Y21" s="112" t="str">
        <f>'EST24'!E18</f>
        <v>CARLOS</v>
      </c>
      <c r="Z21" s="113" t="str">
        <f t="shared" si="39"/>
        <v>Ciencias II - CARLOS</v>
      </c>
      <c r="AA21" s="114">
        <f t="shared" si="36"/>
        <v>0</v>
      </c>
      <c r="AB21" s="7"/>
      <c r="AC21" s="106" t="str">
        <f>'Carga horaria'!D5</f>
        <v>Ciencias II</v>
      </c>
      <c r="AD21" s="6">
        <f>'Carga horaria'!E5</f>
        <v>6</v>
      </c>
      <c r="AE21" s="112" t="str">
        <f>'EST24'!G18</f>
        <v>CARLOS</v>
      </c>
      <c r="AF21" s="113" t="str">
        <f t="shared" si="37"/>
        <v>Ciencias II - CARLOS</v>
      </c>
      <c r="AG21" s="114">
        <f t="shared" si="38"/>
        <v>0</v>
      </c>
      <c r="AI21" s="106" t="str">
        <f>'Carga horaria'!D8</f>
        <v>Inglés II</v>
      </c>
      <c r="AJ21" s="6">
        <f>'Carga horaria'!E8</f>
        <v>3</v>
      </c>
      <c r="AK21" s="112"/>
      <c r="AL21" s="113" t="str">
        <f t="shared" si="28"/>
        <v xml:space="preserve">Inglés II - </v>
      </c>
      <c r="AM21" s="114">
        <f t="shared" si="29"/>
        <v>3</v>
      </c>
      <c r="AO21" s="106" t="str">
        <f>'Carga horaria'!D8</f>
        <v>Inglés II</v>
      </c>
      <c r="AP21" s="6">
        <f>'Carga horaria'!E8</f>
        <v>3</v>
      </c>
      <c r="AQ21" s="112" t="s">
        <v>311</v>
      </c>
      <c r="AR21" s="113" t="str">
        <f t="shared" si="30"/>
        <v>Inglés II - Mayra G.</v>
      </c>
      <c r="AS21" s="114">
        <f t="shared" si="31"/>
        <v>3</v>
      </c>
      <c r="AT21" s="24"/>
      <c r="AU21" s="106" t="str">
        <f>'Carga horaria'!D8</f>
        <v>Inglés II</v>
      </c>
      <c r="AV21" s="6">
        <f>'Carga horaria'!E8</f>
        <v>3</v>
      </c>
      <c r="AW21" s="112"/>
      <c r="AX21" s="113" t="str">
        <f t="shared" si="32"/>
        <v xml:space="preserve">Inglés II - </v>
      </c>
      <c r="AY21" s="114">
        <f t="shared" si="33"/>
        <v>3</v>
      </c>
      <c r="BA21" s="106" t="str">
        <f>'Carga horaria'!D8</f>
        <v>Inglés II</v>
      </c>
      <c r="BB21" s="6">
        <f>'Carga horaria'!E8</f>
        <v>3</v>
      </c>
      <c r="BC21" s="112"/>
      <c r="BD21" s="113" t="str">
        <f t="shared" si="34"/>
        <v xml:space="preserve">Inglés II - </v>
      </c>
      <c r="BE21" s="114">
        <f t="shared" si="35"/>
        <v>3</v>
      </c>
    </row>
    <row r="22" spans="1:57" x14ac:dyDescent="0.2">
      <c r="A22" s="370"/>
      <c r="B22" s="76">
        <v>3</v>
      </c>
      <c r="C22" s="78" t="s">
        <v>439</v>
      </c>
      <c r="D22" s="41" t="s">
        <v>484</v>
      </c>
      <c r="E22" s="254"/>
      <c r="F22" s="254"/>
      <c r="G22" s="254"/>
      <c r="H22" s="254"/>
      <c r="I22" s="254"/>
      <c r="J22" s="119" t="s">
        <v>493</v>
      </c>
      <c r="K22" s="119" t="s">
        <v>492</v>
      </c>
      <c r="L22" s="119"/>
      <c r="M22" s="119"/>
      <c r="N22" s="119"/>
      <c r="O22" s="119"/>
      <c r="P22" s="119" t="s">
        <v>494</v>
      </c>
      <c r="Q22" s="118"/>
      <c r="R22" s="118"/>
      <c r="S22" s="118"/>
      <c r="T22" s="43"/>
      <c r="U22" s="43"/>
      <c r="V22" s="29" t="str">
        <f>IF(eColision(D22:U22),"X","")</f>
        <v/>
      </c>
      <c r="W22" s="25" t="str">
        <f>'Carga horaria'!D6</f>
        <v>Historia II</v>
      </c>
      <c r="X22" s="6">
        <f>'Carga horaria'!E6</f>
        <v>4</v>
      </c>
      <c r="Y22" s="112" t="str">
        <f>'EST24'!E19</f>
        <v>JOSE</v>
      </c>
      <c r="Z22" s="113" t="str">
        <f t="shared" si="39"/>
        <v>Historia II - JOSE</v>
      </c>
      <c r="AA22" s="114">
        <f t="shared" si="36"/>
        <v>0</v>
      </c>
      <c r="AB22" s="7"/>
      <c r="AC22" s="106" t="str">
        <f>'Carga horaria'!D6</f>
        <v>Historia II</v>
      </c>
      <c r="AD22" s="6">
        <f>'Carga horaria'!E6</f>
        <v>4</v>
      </c>
      <c r="AE22" s="112" t="str">
        <f>'EST24'!G19</f>
        <v>PATRICIA</v>
      </c>
      <c r="AF22" s="113" t="str">
        <f t="shared" si="37"/>
        <v>Historia II - PATRICIA</v>
      </c>
      <c r="AG22" s="114">
        <f t="shared" si="38"/>
        <v>0</v>
      </c>
      <c r="AI22" s="106" t="str">
        <f>'Carga horaria'!D9</f>
        <v>Artes II</v>
      </c>
      <c r="AJ22" s="6">
        <f>'Carga horaria'!E9</f>
        <v>3</v>
      </c>
      <c r="AK22" s="112"/>
      <c r="AL22" s="113" t="str">
        <f t="shared" si="28"/>
        <v xml:space="preserve">Artes II - </v>
      </c>
      <c r="AM22" s="114">
        <f t="shared" si="29"/>
        <v>3</v>
      </c>
      <c r="AO22" s="106" t="str">
        <f>'Carga horaria'!D9</f>
        <v>Artes II</v>
      </c>
      <c r="AP22" s="6">
        <f>'Carga horaria'!E9</f>
        <v>3</v>
      </c>
      <c r="AQ22" s="112" t="s">
        <v>302</v>
      </c>
      <c r="AR22" s="113" t="str">
        <f t="shared" si="30"/>
        <v>Artes II - J. Ángel</v>
      </c>
      <c r="AS22" s="114">
        <f t="shared" si="31"/>
        <v>3</v>
      </c>
      <c r="AT22" s="24"/>
      <c r="AU22" s="106" t="str">
        <f>'Carga horaria'!D9</f>
        <v>Artes II</v>
      </c>
      <c r="AV22" s="6">
        <f>'Carga horaria'!E9</f>
        <v>3</v>
      </c>
      <c r="AW22" s="112"/>
      <c r="AX22" s="113" t="str">
        <f t="shared" si="32"/>
        <v xml:space="preserve">Artes II - </v>
      </c>
      <c r="AY22" s="114">
        <f t="shared" si="33"/>
        <v>3</v>
      </c>
      <c r="BA22" s="106" t="str">
        <f>'Carga horaria'!D9</f>
        <v>Artes II</v>
      </c>
      <c r="BB22" s="6">
        <f>'Carga horaria'!E9</f>
        <v>3</v>
      </c>
      <c r="BC22" s="112"/>
      <c r="BD22" s="113" t="str">
        <f t="shared" si="34"/>
        <v xml:space="preserve">Artes II - </v>
      </c>
      <c r="BE22" s="114">
        <f t="shared" si="35"/>
        <v>3</v>
      </c>
    </row>
    <row r="23" spans="1:57" x14ac:dyDescent="0.2">
      <c r="A23" s="370"/>
      <c r="B23" s="76">
        <v>4</v>
      </c>
      <c r="C23" s="78" t="s">
        <v>440</v>
      </c>
      <c r="D23" s="41" t="s">
        <v>475</v>
      </c>
      <c r="E23" s="119"/>
      <c r="F23" s="119"/>
      <c r="G23" s="119"/>
      <c r="H23" s="119"/>
      <c r="I23" s="119"/>
      <c r="J23" s="119" t="s">
        <v>504</v>
      </c>
      <c r="K23" s="119" t="s">
        <v>482</v>
      </c>
      <c r="L23" s="119"/>
      <c r="M23" s="119"/>
      <c r="N23" s="119"/>
      <c r="O23" s="119"/>
      <c r="P23" s="119" t="s">
        <v>532</v>
      </c>
      <c r="Q23" s="118"/>
      <c r="R23" s="118"/>
      <c r="S23" s="118"/>
      <c r="T23" s="43"/>
      <c r="U23" s="43"/>
      <c r="V23" s="29" t="str">
        <f>IF(eColision(D23:U23),"X","")</f>
        <v/>
      </c>
      <c r="W23" s="25" t="str">
        <f>'Carga horaria'!D7</f>
        <v>FCE II</v>
      </c>
      <c r="X23" s="6">
        <f>'Carga horaria'!E7</f>
        <v>2</v>
      </c>
      <c r="Y23" s="112" t="str">
        <f>'EST24'!E20</f>
        <v>LORENA</v>
      </c>
      <c r="Z23" s="113" t="str">
        <f t="shared" si="39"/>
        <v>FCE II - LORENA</v>
      </c>
      <c r="AA23" s="114">
        <f t="shared" si="36"/>
        <v>0</v>
      </c>
      <c r="AB23" s="7"/>
      <c r="AC23" s="106" t="str">
        <f>'Carga horaria'!D7</f>
        <v>FCE II</v>
      </c>
      <c r="AD23" s="6">
        <f>'Carga horaria'!E7</f>
        <v>2</v>
      </c>
      <c r="AE23" s="112" t="str">
        <f>'EST24'!G20</f>
        <v>LORENA</v>
      </c>
      <c r="AF23" s="113" t="str">
        <f t="shared" si="37"/>
        <v>FCE II - LORENA</v>
      </c>
      <c r="AG23" s="114">
        <f t="shared" si="38"/>
        <v>0</v>
      </c>
      <c r="AI23" s="106" t="str">
        <f>'Carga horaria'!D10</f>
        <v>Educ. Física II</v>
      </c>
      <c r="AJ23" s="6">
        <f>'Carga horaria'!E10</f>
        <v>2</v>
      </c>
      <c r="AK23" s="112"/>
      <c r="AL23" s="113" t="str">
        <f t="shared" si="28"/>
        <v xml:space="preserve">Educ. Física II - </v>
      </c>
      <c r="AM23" s="114">
        <f t="shared" si="29"/>
        <v>2</v>
      </c>
      <c r="AO23" s="106" t="str">
        <f>'Carga horaria'!D10</f>
        <v>Educ. Física II</v>
      </c>
      <c r="AP23" s="6">
        <f>'Carga horaria'!E10</f>
        <v>2</v>
      </c>
      <c r="AQ23" s="112" t="s">
        <v>312</v>
      </c>
      <c r="AR23" s="113" t="str">
        <f t="shared" si="30"/>
        <v>Educ. Física II - Blanca D.</v>
      </c>
      <c r="AS23" s="114">
        <f t="shared" si="31"/>
        <v>2</v>
      </c>
      <c r="AT23" s="24"/>
      <c r="AU23" s="106" t="str">
        <f>'Carga horaria'!D10</f>
        <v>Educ. Física II</v>
      </c>
      <c r="AV23" s="6">
        <f>'Carga horaria'!E10</f>
        <v>2</v>
      </c>
      <c r="AW23" s="112"/>
      <c r="AX23" s="113" t="str">
        <f t="shared" si="32"/>
        <v xml:space="preserve">Educ. Física II - </v>
      </c>
      <c r="AY23" s="114">
        <f t="shared" si="33"/>
        <v>2</v>
      </c>
      <c r="BA23" s="106" t="str">
        <f>'Carga horaria'!D10</f>
        <v>Educ. Física II</v>
      </c>
      <c r="BB23" s="6">
        <f>'Carga horaria'!E10</f>
        <v>2</v>
      </c>
      <c r="BC23" s="112"/>
      <c r="BD23" s="113" t="str">
        <f t="shared" si="34"/>
        <v xml:space="preserve">Educ. Física II - </v>
      </c>
      <c r="BE23" s="114">
        <f t="shared" si="35"/>
        <v>2</v>
      </c>
    </row>
    <row r="24" spans="1:57" x14ac:dyDescent="0.2">
      <c r="A24" s="370"/>
      <c r="B24" s="76">
        <v>5</v>
      </c>
      <c r="C24" s="78" t="s">
        <v>441</v>
      </c>
      <c r="D24" s="41" t="s">
        <v>488</v>
      </c>
      <c r="E24" s="119"/>
      <c r="F24" s="119"/>
      <c r="G24" s="119"/>
      <c r="H24" s="119"/>
      <c r="I24" s="119"/>
      <c r="J24" s="119" t="s">
        <v>477</v>
      </c>
      <c r="K24" s="119" t="s">
        <v>482</v>
      </c>
      <c r="L24" s="119"/>
      <c r="M24" s="119"/>
      <c r="N24" s="119"/>
      <c r="O24" s="119"/>
      <c r="P24" s="119" t="s">
        <v>532</v>
      </c>
      <c r="Q24" s="118"/>
      <c r="R24" s="118"/>
      <c r="S24" s="118"/>
      <c r="T24" s="43"/>
      <c r="U24" s="43"/>
      <c r="V24" s="29" t="str">
        <f>IF(eColision(D24:U24),"X","")</f>
        <v/>
      </c>
      <c r="W24" s="25" t="str">
        <f>'Carga horaria'!D8</f>
        <v>Inglés II</v>
      </c>
      <c r="X24" s="6">
        <f>'Carga horaria'!E8</f>
        <v>3</v>
      </c>
      <c r="Y24" s="112" t="str">
        <f>'EST24'!E21</f>
        <v>GUSTAVO</v>
      </c>
      <c r="Z24" s="113" t="str">
        <f t="shared" si="39"/>
        <v>Inglés II - GUSTAVO</v>
      </c>
      <c r="AA24" s="114">
        <f t="shared" si="36"/>
        <v>0</v>
      </c>
      <c r="AB24" s="7"/>
      <c r="AC24" s="106" t="str">
        <f>'Carga horaria'!D8</f>
        <v>Inglés II</v>
      </c>
      <c r="AD24" s="6">
        <f>'Carga horaria'!E8</f>
        <v>3</v>
      </c>
      <c r="AE24" s="112" t="str">
        <f>'EST24'!G21</f>
        <v>GUSTAVO</v>
      </c>
      <c r="AF24" s="113" t="str">
        <f t="shared" si="37"/>
        <v>Inglés II - GUSTAVO</v>
      </c>
      <c r="AG24" s="114">
        <f t="shared" si="38"/>
        <v>0</v>
      </c>
      <c r="AI24" s="106" t="str">
        <f>'Carga horaria'!D11</f>
        <v>Tutoría</v>
      </c>
      <c r="AJ24" s="6">
        <f>'Carga horaria'!E11</f>
        <v>1</v>
      </c>
      <c r="AK24" s="112"/>
      <c r="AL24" s="113" t="str">
        <f t="shared" si="28"/>
        <v xml:space="preserve">Tutoría - </v>
      </c>
      <c r="AM24" s="114">
        <f t="shared" si="29"/>
        <v>1</v>
      </c>
      <c r="AO24" s="106" t="str">
        <f>'Carga horaria'!D11</f>
        <v>Tutoría</v>
      </c>
      <c r="AP24" s="6">
        <f>'Carga horaria'!E11</f>
        <v>1</v>
      </c>
      <c r="AQ24" s="112" t="s">
        <v>307</v>
      </c>
      <c r="AR24" s="113" t="str">
        <f t="shared" si="30"/>
        <v>Tutoría - Victoria N.</v>
      </c>
      <c r="AS24" s="114">
        <f t="shared" si="31"/>
        <v>1</v>
      </c>
      <c r="AT24" s="24"/>
      <c r="AU24" s="106" t="str">
        <f>'Carga horaria'!D11</f>
        <v>Tutoría</v>
      </c>
      <c r="AV24" s="6">
        <f>'Carga horaria'!E11</f>
        <v>1</v>
      </c>
      <c r="AW24" s="112"/>
      <c r="AX24" s="113" t="str">
        <f t="shared" si="32"/>
        <v xml:space="preserve">Tutoría - </v>
      </c>
      <c r="AY24" s="114">
        <f t="shared" si="33"/>
        <v>1</v>
      </c>
      <c r="BA24" s="106" t="str">
        <f>'Carga horaria'!D11</f>
        <v>Tutoría</v>
      </c>
      <c r="BB24" s="6">
        <f>'Carga horaria'!E11</f>
        <v>1</v>
      </c>
      <c r="BC24" s="112"/>
      <c r="BD24" s="113" t="str">
        <f t="shared" si="34"/>
        <v xml:space="preserve">Tutoría - </v>
      </c>
      <c r="BE24" s="114">
        <f t="shared" si="35"/>
        <v>1</v>
      </c>
    </row>
    <row r="25" spans="1:57" ht="16.5" customHeight="1" x14ac:dyDescent="0.2">
      <c r="A25" s="370"/>
      <c r="B25" s="76">
        <v>6</v>
      </c>
      <c r="C25" s="78" t="s">
        <v>466</v>
      </c>
      <c r="D25" s="41" t="s">
        <v>488</v>
      </c>
      <c r="E25" s="119"/>
      <c r="F25" s="119"/>
      <c r="G25" s="119"/>
      <c r="H25" s="119"/>
      <c r="I25" s="119"/>
      <c r="J25" s="119" t="s">
        <v>491</v>
      </c>
      <c r="K25" s="119" t="s">
        <v>532</v>
      </c>
      <c r="L25" s="119"/>
      <c r="M25" s="119"/>
      <c r="N25" s="119"/>
      <c r="O25" s="119"/>
      <c r="P25" s="119" t="s">
        <v>490</v>
      </c>
      <c r="Q25" s="118"/>
      <c r="R25" s="118"/>
      <c r="S25" s="118"/>
      <c r="T25" s="43"/>
      <c r="U25" s="43"/>
      <c r="V25" s="29" t="str">
        <f>IF(eColision(D25:U25),"X","")</f>
        <v/>
      </c>
      <c r="W25" s="25" t="str">
        <f>'Carga horaria'!D9</f>
        <v>Artes II</v>
      </c>
      <c r="X25" s="6">
        <f>'Carga horaria'!E9</f>
        <v>3</v>
      </c>
      <c r="Y25" s="112" t="str">
        <f>'EST24'!E22</f>
        <v>XITLALI</v>
      </c>
      <c r="Z25" s="113" t="str">
        <f t="shared" si="39"/>
        <v>Artes II - XITLALI</v>
      </c>
      <c r="AA25" s="114">
        <f t="shared" si="36"/>
        <v>0</v>
      </c>
      <c r="AB25" s="7"/>
      <c r="AC25" s="106" t="str">
        <f>'Carga horaria'!D9</f>
        <v>Artes II</v>
      </c>
      <c r="AD25" s="6">
        <f>'Carga horaria'!E9</f>
        <v>3</v>
      </c>
      <c r="AE25" s="112" t="str">
        <f>'EST24'!G22</f>
        <v>XITLALI</v>
      </c>
      <c r="AF25" s="113" t="str">
        <f t="shared" si="37"/>
        <v>Artes II - XITLALI</v>
      </c>
      <c r="AG25" s="114">
        <f t="shared" si="38"/>
        <v>0</v>
      </c>
      <c r="AI25" s="106" t="str">
        <f>'Carga horaria'!D12</f>
        <v>Tecnología</v>
      </c>
      <c r="AJ25" s="6">
        <f>'Carga horaria'!E12</f>
        <v>8</v>
      </c>
      <c r="AK25" s="112"/>
      <c r="AL25" s="113" t="str">
        <f t="shared" si="28"/>
        <v xml:space="preserve">Tecnología - </v>
      </c>
      <c r="AM25" s="114">
        <f t="shared" si="29"/>
        <v>8</v>
      </c>
      <c r="AO25" s="106" t="str">
        <f>'Carga horaria'!D12</f>
        <v>Tecnología</v>
      </c>
      <c r="AP25" s="6">
        <f>'Carga horaria'!E12</f>
        <v>8</v>
      </c>
      <c r="AQ25" s="112"/>
      <c r="AR25" s="113" t="str">
        <f t="shared" si="30"/>
        <v xml:space="preserve">Tecnología - </v>
      </c>
      <c r="AS25" s="114">
        <f t="shared" si="31"/>
        <v>8</v>
      </c>
      <c r="AT25" s="24"/>
      <c r="AU25" s="106" t="str">
        <f>'Carga horaria'!D12</f>
        <v>Tecnología</v>
      </c>
      <c r="AV25" s="6">
        <f>'Carga horaria'!E12</f>
        <v>8</v>
      </c>
      <c r="AW25" s="112"/>
      <c r="AX25" s="113" t="str">
        <f t="shared" si="32"/>
        <v xml:space="preserve">Tecnología - </v>
      </c>
      <c r="AY25" s="114">
        <f t="shared" si="33"/>
        <v>8</v>
      </c>
      <c r="BA25" s="106" t="str">
        <f>'Carga horaria'!D12</f>
        <v>Tecnología</v>
      </c>
      <c r="BB25" s="6">
        <f>'Carga horaria'!E12</f>
        <v>8</v>
      </c>
      <c r="BC25" s="112"/>
      <c r="BD25" s="113" t="str">
        <f t="shared" si="34"/>
        <v xml:space="preserve">Tecnología - </v>
      </c>
      <c r="BE25" s="114">
        <f t="shared" si="35"/>
        <v>8</v>
      </c>
    </row>
    <row r="26" spans="1:57" x14ac:dyDescent="0.2">
      <c r="A26" s="370"/>
      <c r="B26" s="91">
        <v>7</v>
      </c>
      <c r="C26" s="78" t="s">
        <v>467</v>
      </c>
      <c r="D26" s="41" t="s">
        <v>528</v>
      </c>
      <c r="E26" s="119"/>
      <c r="F26" s="119"/>
      <c r="G26" s="119"/>
      <c r="H26" s="119"/>
      <c r="I26" s="119"/>
      <c r="J26" s="119" t="s">
        <v>530</v>
      </c>
      <c r="K26" s="119" t="s">
        <v>532</v>
      </c>
      <c r="L26" s="119"/>
      <c r="M26" s="119"/>
      <c r="N26" s="119"/>
      <c r="O26" s="119"/>
      <c r="P26" s="119" t="s">
        <v>499</v>
      </c>
      <c r="Q26" s="118"/>
      <c r="R26" s="118"/>
      <c r="S26" s="118"/>
      <c r="T26" s="43"/>
      <c r="U26" s="43"/>
      <c r="V26" s="29" t="str">
        <f>IF(eColision(D26:U26),"X","")</f>
        <v/>
      </c>
      <c r="W26" s="25" t="str">
        <f>'Carga horaria'!D10</f>
        <v>Educ. Física II</v>
      </c>
      <c r="X26" s="6">
        <f>'Carga horaria'!E10</f>
        <v>2</v>
      </c>
      <c r="Y26" s="112" t="str">
        <f>'EST24'!E23</f>
        <v>MACEDONIO</v>
      </c>
      <c r="Z26" s="113" t="str">
        <f t="shared" si="39"/>
        <v>Educ. Física II - MACEDONIO</v>
      </c>
      <c r="AA26" s="114">
        <f>X26-COUNTIF(hsA,Z26)</f>
        <v>0</v>
      </c>
      <c r="AB26" s="7"/>
      <c r="AC26" s="106" t="str">
        <f>'Carga horaria'!D10</f>
        <v>Educ. Física II</v>
      </c>
      <c r="AD26" s="6">
        <f>'Carga horaria'!E10</f>
        <v>2</v>
      </c>
      <c r="AE26" s="112" t="str">
        <f>'EST24'!G23</f>
        <v>MACEDONIO</v>
      </c>
      <c r="AF26" s="113" t="str">
        <f t="shared" si="37"/>
        <v>Educ. Física II - MACEDONIO</v>
      </c>
      <c r="AG26" s="114">
        <f t="shared" si="38"/>
        <v>0</v>
      </c>
      <c r="AI26" s="367" t="s">
        <v>15</v>
      </c>
      <c r="AJ26" s="365" t="s">
        <v>111</v>
      </c>
      <c r="AK26" s="355" t="s">
        <v>270</v>
      </c>
      <c r="AL26" s="356"/>
      <c r="AM26" s="357"/>
      <c r="AO26" s="367" t="s">
        <v>15</v>
      </c>
      <c r="AP26" s="365" t="s">
        <v>111</v>
      </c>
      <c r="AQ26" s="355" t="s">
        <v>271</v>
      </c>
      <c r="AR26" s="356"/>
      <c r="AS26" s="357"/>
      <c r="AT26" s="24"/>
      <c r="AU26" s="367" t="s">
        <v>15</v>
      </c>
      <c r="AV26" s="365" t="s">
        <v>111</v>
      </c>
      <c r="AW26" s="355" t="s">
        <v>272</v>
      </c>
      <c r="AX26" s="356"/>
      <c r="AY26" s="357"/>
      <c r="BA26" s="367" t="s">
        <v>15</v>
      </c>
      <c r="BB26" s="365" t="s">
        <v>111</v>
      </c>
      <c r="BC26" s="355" t="s">
        <v>273</v>
      </c>
      <c r="BD26" s="356"/>
      <c r="BE26" s="357"/>
    </row>
    <row r="27" spans="1:57" ht="17" thickBot="1" x14ac:dyDescent="0.25">
      <c r="A27" s="371"/>
      <c r="B27" s="90">
        <v>8</v>
      </c>
      <c r="C27" s="255" t="s">
        <v>468</v>
      </c>
      <c r="D27" s="256" t="s">
        <v>533</v>
      </c>
      <c r="E27" s="257"/>
      <c r="F27" s="257"/>
      <c r="G27" s="257"/>
      <c r="H27" s="257"/>
      <c r="I27" s="257"/>
      <c r="J27" s="258" t="s">
        <v>530</v>
      </c>
      <c r="K27" s="257" t="s">
        <v>491</v>
      </c>
      <c r="L27" s="257"/>
      <c r="M27" s="257"/>
      <c r="N27" s="257"/>
      <c r="O27" s="257"/>
      <c r="P27" s="257" t="s">
        <v>495</v>
      </c>
      <c r="Q27" s="297"/>
      <c r="R27" s="297"/>
      <c r="S27" s="297"/>
      <c r="T27" s="88"/>
      <c r="U27" s="88"/>
      <c r="V27" s="30" t="str">
        <f>IF(eColision(D27:U27),"X","")</f>
        <v/>
      </c>
      <c r="W27" s="25" t="str">
        <f>'Carga horaria'!D11</f>
        <v>Tutoría</v>
      </c>
      <c r="X27" s="6">
        <f>'Carga horaria'!E11</f>
        <v>1</v>
      </c>
      <c r="Y27" s="112" t="str">
        <f>'EST24'!E24</f>
        <v>JOSE</v>
      </c>
      <c r="Z27" s="113" t="str">
        <f t="shared" si="39"/>
        <v>Tutoría - JOSE</v>
      </c>
      <c r="AA27" s="114">
        <f t="shared" si="36"/>
        <v>0</v>
      </c>
      <c r="AB27" s="7"/>
      <c r="AC27" s="106" t="str">
        <f>'Carga horaria'!D11</f>
        <v>Tutoría</v>
      </c>
      <c r="AD27" s="6">
        <f>'Carga horaria'!E11</f>
        <v>1</v>
      </c>
      <c r="AE27" s="112" t="str">
        <f>'EST24'!G24</f>
        <v>XITLALI</v>
      </c>
      <c r="AF27" s="113" t="str">
        <f t="shared" si="37"/>
        <v>Tutoría - XITLALI</v>
      </c>
      <c r="AG27" s="114">
        <f t="shared" si="38"/>
        <v>0</v>
      </c>
      <c r="AI27" s="368"/>
      <c r="AJ27" s="366"/>
      <c r="AK27" s="110" t="s">
        <v>60</v>
      </c>
      <c r="AL27" s="110" t="s">
        <v>65</v>
      </c>
      <c r="AM27" s="111" t="s">
        <v>66</v>
      </c>
      <c r="AO27" s="368"/>
      <c r="AP27" s="366"/>
      <c r="AQ27" s="110" t="s">
        <v>60</v>
      </c>
      <c r="AR27" s="110" t="s">
        <v>65</v>
      </c>
      <c r="AS27" s="111" t="s">
        <v>66</v>
      </c>
      <c r="AT27" s="24"/>
      <c r="AU27" s="368"/>
      <c r="AV27" s="366"/>
      <c r="AW27" s="110" t="s">
        <v>60</v>
      </c>
      <c r="AX27" s="110" t="s">
        <v>65</v>
      </c>
      <c r="AY27" s="111" t="s">
        <v>66</v>
      </c>
      <c r="BA27" s="368"/>
      <c r="BB27" s="366"/>
      <c r="BC27" s="110" t="s">
        <v>60</v>
      </c>
      <c r="BD27" s="110" t="s">
        <v>65</v>
      </c>
      <c r="BE27" s="111" t="s">
        <v>66</v>
      </c>
    </row>
    <row r="28" spans="1:57" ht="16" thickTop="1" x14ac:dyDescent="0.2">
      <c r="A28" s="372" t="s">
        <v>55</v>
      </c>
      <c r="B28" s="337">
        <v>1</v>
      </c>
      <c r="C28" s="338" t="s">
        <v>199</v>
      </c>
      <c r="D28" s="339" t="s">
        <v>475</v>
      </c>
      <c r="E28" s="340"/>
      <c r="F28" s="340"/>
      <c r="G28" s="340"/>
      <c r="H28" s="340"/>
      <c r="I28" s="340"/>
      <c r="J28" s="340" t="s">
        <v>489</v>
      </c>
      <c r="K28" s="340" t="s">
        <v>482</v>
      </c>
      <c r="L28" s="340"/>
      <c r="M28" s="340"/>
      <c r="N28" s="340"/>
      <c r="O28" s="340"/>
      <c r="P28" s="340" t="s">
        <v>478</v>
      </c>
      <c r="Q28" s="298"/>
      <c r="R28" s="298"/>
      <c r="S28" s="298"/>
      <c r="T28" s="49"/>
      <c r="U28" s="49"/>
      <c r="V28" s="32" t="str">
        <f>IF(eColision(D28:U28),"X","")</f>
        <v/>
      </c>
      <c r="W28" s="25" t="str">
        <f>'Carga horaria'!D12</f>
        <v>Tecnología</v>
      </c>
      <c r="X28" s="6">
        <f>'Carga horaria'!E12</f>
        <v>8</v>
      </c>
      <c r="Y28" s="112" t="str">
        <f>'EST24'!E25</f>
        <v>LORENA</v>
      </c>
      <c r="Z28" s="113" t="str">
        <f t="shared" si="39"/>
        <v>Tecnología - LORENA</v>
      </c>
      <c r="AA28" s="114">
        <f t="shared" si="36"/>
        <v>0</v>
      </c>
      <c r="AB28" s="7"/>
      <c r="AC28" s="106" t="str">
        <f>'Carga horaria'!D12</f>
        <v>Tecnología</v>
      </c>
      <c r="AD28" s="6">
        <f>'Carga horaria'!E12</f>
        <v>8</v>
      </c>
      <c r="AE28" s="112" t="str">
        <f>'EST24'!G25</f>
        <v>ABRAHAM</v>
      </c>
      <c r="AF28" s="113" t="str">
        <f t="shared" si="37"/>
        <v>Tecnología - ABRAHAM</v>
      </c>
      <c r="AG28" s="114">
        <f t="shared" si="38"/>
        <v>0</v>
      </c>
      <c r="AI28" s="106" t="str">
        <f>'Carga horaria'!G3</f>
        <v>Español III</v>
      </c>
      <c r="AJ28" s="6">
        <f>'Carga horaria'!H3</f>
        <v>5</v>
      </c>
      <c r="AK28" s="112"/>
      <c r="AL28" s="113" t="str">
        <f t="shared" ref="AL28:AL37" si="40">CONCATENATE(AI28," - ", AK28)</f>
        <v xml:space="preserve">Español III - </v>
      </c>
      <c r="AM28" s="114">
        <f t="shared" ref="AM28:AM37" si="41">AJ28-COUNTIF(htC,AL28)</f>
        <v>5</v>
      </c>
      <c r="AO28" s="106" t="str">
        <f>'Carga horaria'!G3</f>
        <v>Español III</v>
      </c>
      <c r="AP28" s="6">
        <f>'Carga horaria'!H3</f>
        <v>5</v>
      </c>
      <c r="AQ28" s="112" t="s">
        <v>304</v>
      </c>
      <c r="AR28" s="113" t="str">
        <f t="shared" ref="AR28:AR37" si="42">CONCATENATE(AO28," - ", AQ28)</f>
        <v>Español III - Ana Karem</v>
      </c>
      <c r="AS28" s="114">
        <f t="shared" ref="AS28:AS37" si="43">AP28-COUNTIF(htD,AR28)</f>
        <v>5</v>
      </c>
      <c r="AT28" s="24"/>
      <c r="AU28" s="106" t="str">
        <f>'Carga horaria'!G3</f>
        <v>Español III</v>
      </c>
      <c r="AV28" s="6">
        <f>'Carga horaria'!H3</f>
        <v>5</v>
      </c>
      <c r="AW28" s="112"/>
      <c r="AX28" s="113" t="str">
        <f t="shared" ref="AX28:AX37" si="44">CONCATENATE(AU28," - ", AW28)</f>
        <v xml:space="preserve">Español III - </v>
      </c>
      <c r="AY28" s="114">
        <f t="shared" ref="AY28:AY37" si="45">AV28-COUNTIF(htE,AX28)</f>
        <v>5</v>
      </c>
      <c r="BA28" s="106" t="str">
        <f>'Carga horaria'!G3</f>
        <v>Español III</v>
      </c>
      <c r="BB28" s="6">
        <f>'Carga horaria'!H3</f>
        <v>5</v>
      </c>
      <c r="BC28" s="112"/>
      <c r="BD28" s="113" t="str">
        <f t="shared" ref="BD28:BD37" si="46">CONCATENATE(BA28," - ", BC28)</f>
        <v xml:space="preserve">Español III - </v>
      </c>
      <c r="BE28" s="114">
        <f t="shared" ref="BE28:BE37" si="47">BB28-COUNTIF(htF,BD28)</f>
        <v>5</v>
      </c>
    </row>
    <row r="29" spans="1:57" x14ac:dyDescent="0.2">
      <c r="A29" s="373"/>
      <c r="B29" s="341">
        <v>2</v>
      </c>
      <c r="C29" s="342" t="s">
        <v>198</v>
      </c>
      <c r="D29" s="343" t="s">
        <v>483</v>
      </c>
      <c r="E29" s="344"/>
      <c r="F29" s="344"/>
      <c r="G29" s="344"/>
      <c r="H29" s="344"/>
      <c r="I29" s="344"/>
      <c r="J29" s="344" t="s">
        <v>530</v>
      </c>
      <c r="K29" s="344" t="s">
        <v>477</v>
      </c>
      <c r="L29" s="344"/>
      <c r="M29" s="344"/>
      <c r="N29" s="344"/>
      <c r="O29" s="344"/>
      <c r="P29" s="344" t="s">
        <v>495</v>
      </c>
      <c r="Q29" s="118"/>
      <c r="R29" s="118"/>
      <c r="S29" s="118"/>
      <c r="T29" s="43"/>
      <c r="U29" s="43"/>
      <c r="V29" s="29" t="str">
        <f>IF(eColision(D29:U29),"X","")</f>
        <v/>
      </c>
      <c r="W29" s="25" t="str">
        <f>'Carga horaria'!D13</f>
        <v>A. Curricular</v>
      </c>
      <c r="X29" s="6">
        <f>'Carga horaria'!E13</f>
        <v>1</v>
      </c>
      <c r="Y29" s="112" t="str">
        <f>'EST24'!E26</f>
        <v>LORENA</v>
      </c>
      <c r="Z29" s="113" t="str">
        <f t="shared" ref="Z29" si="48">CONCATENATE(W29," - ", Y29)</f>
        <v>A. Curricular - LORENA</v>
      </c>
      <c r="AA29" s="114">
        <f t="shared" ref="AA29" si="49">X29-COUNTIF(hsA,Z29)</f>
        <v>0</v>
      </c>
      <c r="AC29" s="106" t="str">
        <f>'Carga horaria'!D13</f>
        <v>A. Curricular</v>
      </c>
      <c r="AD29" s="6">
        <f>'Carga horaria'!E13</f>
        <v>1</v>
      </c>
      <c r="AE29" s="112" t="str">
        <f>'EST24'!G26</f>
        <v>ABRAHAM</v>
      </c>
      <c r="AF29" s="113" t="str">
        <f t="shared" ref="AF29" si="50">CONCATENATE(AC29," - ", AE29)</f>
        <v>A. Curricular - ABRAHAM</v>
      </c>
      <c r="AG29" s="114">
        <f t="shared" ref="AG29" si="51">AD29-COUNTIF(hsB,AF29)</f>
        <v>0</v>
      </c>
      <c r="AI29" s="106" t="str">
        <f>'Carga horaria'!G4</f>
        <v>Matemáticas III</v>
      </c>
      <c r="AJ29" s="6">
        <f>'Carga horaria'!H4</f>
        <v>5</v>
      </c>
      <c r="AK29" s="112"/>
      <c r="AL29" s="113" t="str">
        <f t="shared" si="40"/>
        <v xml:space="preserve">Matemáticas III - </v>
      </c>
      <c r="AM29" s="114">
        <f t="shared" si="41"/>
        <v>5</v>
      </c>
      <c r="AO29" s="106" t="str">
        <f>'Carga horaria'!G4</f>
        <v>Matemáticas III</v>
      </c>
      <c r="AP29" s="6">
        <f>'Carga horaria'!H4</f>
        <v>5</v>
      </c>
      <c r="AQ29" s="112" t="s">
        <v>377</v>
      </c>
      <c r="AR29" s="113" t="str">
        <f t="shared" si="42"/>
        <v>Matemáticas III - J. Benjamín</v>
      </c>
      <c r="AS29" s="114">
        <f t="shared" si="43"/>
        <v>5</v>
      </c>
      <c r="AT29" s="24"/>
      <c r="AU29" s="106" t="str">
        <f>'Carga horaria'!G4</f>
        <v>Matemáticas III</v>
      </c>
      <c r="AV29" s="6">
        <f>'Carga horaria'!H4</f>
        <v>5</v>
      </c>
      <c r="AW29" s="112"/>
      <c r="AX29" s="113" t="str">
        <f t="shared" si="44"/>
        <v xml:space="preserve">Matemáticas III - </v>
      </c>
      <c r="AY29" s="114">
        <f t="shared" si="45"/>
        <v>5</v>
      </c>
      <c r="BA29" s="106" t="str">
        <f>'Carga horaria'!G4</f>
        <v>Matemáticas III</v>
      </c>
      <c r="BB29" s="6">
        <f>'Carga horaria'!H4</f>
        <v>5</v>
      </c>
      <c r="BC29" s="112"/>
      <c r="BD29" s="113" t="str">
        <f t="shared" si="46"/>
        <v xml:space="preserve">Matemáticas III - </v>
      </c>
      <c r="BE29" s="114">
        <f t="shared" si="47"/>
        <v>5</v>
      </c>
    </row>
    <row r="30" spans="1:57" x14ac:dyDescent="0.2">
      <c r="A30" s="373"/>
      <c r="B30" s="341">
        <v>3</v>
      </c>
      <c r="C30" s="342" t="s">
        <v>439</v>
      </c>
      <c r="D30" s="343" t="s">
        <v>528</v>
      </c>
      <c r="E30" s="344"/>
      <c r="F30" s="344"/>
      <c r="G30" s="344"/>
      <c r="H30" s="344"/>
      <c r="I30" s="344"/>
      <c r="J30" s="344" t="s">
        <v>482</v>
      </c>
      <c r="K30" s="344" t="s">
        <v>526</v>
      </c>
      <c r="L30" s="344"/>
      <c r="M30" s="344"/>
      <c r="N30" s="344"/>
      <c r="O30" s="344"/>
      <c r="P30" s="344" t="s">
        <v>490</v>
      </c>
      <c r="Q30" s="118"/>
      <c r="R30" s="118"/>
      <c r="S30" s="118"/>
      <c r="T30" s="43"/>
      <c r="U30" s="43"/>
      <c r="V30" s="29" t="str">
        <f>IF(eColision(D30:U30),"X","")</f>
        <v/>
      </c>
      <c r="AI30" s="106" t="str">
        <f>'Carga horaria'!G5</f>
        <v>Ciencias III</v>
      </c>
      <c r="AJ30" s="6">
        <f>'Carga horaria'!H5</f>
        <v>6</v>
      </c>
      <c r="AK30" s="112"/>
      <c r="AL30" s="113" t="str">
        <f t="shared" si="40"/>
        <v xml:space="preserve">Ciencias III - </v>
      </c>
      <c r="AM30" s="114">
        <f t="shared" si="41"/>
        <v>6</v>
      </c>
      <c r="AO30" s="106" t="str">
        <f>'Carga horaria'!G5</f>
        <v>Ciencias III</v>
      </c>
      <c r="AP30" s="6">
        <f>'Carga horaria'!H5</f>
        <v>6</v>
      </c>
      <c r="AQ30" s="112" t="s">
        <v>306</v>
      </c>
      <c r="AR30" s="113" t="str">
        <f t="shared" si="42"/>
        <v>Ciencias III - Martha A.</v>
      </c>
      <c r="AS30" s="114">
        <f t="shared" si="43"/>
        <v>6</v>
      </c>
      <c r="AT30" s="24"/>
      <c r="AU30" s="106" t="str">
        <f>'Carga horaria'!G5</f>
        <v>Ciencias III</v>
      </c>
      <c r="AV30" s="6">
        <f>'Carga horaria'!H5</f>
        <v>6</v>
      </c>
      <c r="AW30" s="112"/>
      <c r="AX30" s="113" t="str">
        <f t="shared" si="44"/>
        <v xml:space="preserve">Ciencias III - </v>
      </c>
      <c r="AY30" s="114">
        <f t="shared" si="45"/>
        <v>6</v>
      </c>
      <c r="BA30" s="106" t="str">
        <f>'Carga horaria'!G5</f>
        <v>Ciencias III</v>
      </c>
      <c r="BB30" s="6">
        <f>'Carga horaria'!H5</f>
        <v>6</v>
      </c>
      <c r="BC30" s="112"/>
      <c r="BD30" s="113" t="str">
        <f t="shared" si="46"/>
        <v xml:space="preserve">Ciencias III - </v>
      </c>
      <c r="BE30" s="114">
        <f t="shared" si="47"/>
        <v>6</v>
      </c>
    </row>
    <row r="31" spans="1:57" x14ac:dyDescent="0.2">
      <c r="A31" s="373"/>
      <c r="B31" s="341">
        <v>4</v>
      </c>
      <c r="C31" s="342" t="s">
        <v>440</v>
      </c>
      <c r="D31" s="343" t="s">
        <v>528</v>
      </c>
      <c r="E31" s="344"/>
      <c r="F31" s="344"/>
      <c r="G31" s="344"/>
      <c r="H31" s="344"/>
      <c r="I31" s="344"/>
      <c r="J31" s="344" t="s">
        <v>485</v>
      </c>
      <c r="K31" s="344" t="s">
        <v>489</v>
      </c>
      <c r="L31" s="344"/>
      <c r="M31" s="344"/>
      <c r="N31" s="344"/>
      <c r="O31" s="344"/>
      <c r="P31" s="344" t="s">
        <v>532</v>
      </c>
      <c r="Q31" s="118"/>
      <c r="R31" s="118"/>
      <c r="S31" s="118"/>
      <c r="T31" s="43"/>
      <c r="U31" s="43"/>
      <c r="V31" s="29" t="str">
        <f>IF(eColision(D31:U31),"X","")</f>
        <v/>
      </c>
      <c r="W31" s="392" t="s">
        <v>15</v>
      </c>
      <c r="X31" s="390" t="s">
        <v>111</v>
      </c>
      <c r="Y31" s="355" t="s">
        <v>48</v>
      </c>
      <c r="Z31" s="356"/>
      <c r="AA31" s="357"/>
      <c r="AB31" s="7"/>
      <c r="AC31" s="395" t="s">
        <v>15</v>
      </c>
      <c r="AD31" s="390" t="s">
        <v>111</v>
      </c>
      <c r="AE31" s="355" t="s">
        <v>64</v>
      </c>
      <c r="AF31" s="356"/>
      <c r="AG31" s="357"/>
      <c r="AI31" s="106" t="str">
        <f>'Carga horaria'!G6</f>
        <v>Historia III</v>
      </c>
      <c r="AJ31" s="6">
        <f>'Carga horaria'!H6</f>
        <v>4</v>
      </c>
      <c r="AK31" s="112"/>
      <c r="AL31" s="113" t="str">
        <f t="shared" si="40"/>
        <v xml:space="preserve">Historia III - </v>
      </c>
      <c r="AM31" s="114">
        <f t="shared" si="41"/>
        <v>4</v>
      </c>
      <c r="AO31" s="106" t="str">
        <f>'Carga horaria'!G6</f>
        <v>Historia III</v>
      </c>
      <c r="AP31" s="6">
        <f>'Carga horaria'!H6</f>
        <v>4</v>
      </c>
      <c r="AQ31" s="112" t="s">
        <v>309</v>
      </c>
      <c r="AR31" s="113" t="str">
        <f t="shared" si="42"/>
        <v>Historia III - Yessica X.</v>
      </c>
      <c r="AS31" s="114">
        <f t="shared" si="43"/>
        <v>4</v>
      </c>
      <c r="AT31" s="24"/>
      <c r="AU31" s="106" t="str">
        <f>'Carga horaria'!G6</f>
        <v>Historia III</v>
      </c>
      <c r="AV31" s="6">
        <f>'Carga horaria'!H6</f>
        <v>4</v>
      </c>
      <c r="AW31" s="112"/>
      <c r="AX31" s="113" t="str">
        <f t="shared" si="44"/>
        <v xml:space="preserve">Historia III - </v>
      </c>
      <c r="AY31" s="114">
        <f t="shared" si="45"/>
        <v>4</v>
      </c>
      <c r="BA31" s="106" t="str">
        <f>'Carga horaria'!G6</f>
        <v>Historia III</v>
      </c>
      <c r="BB31" s="6">
        <f>'Carga horaria'!H6</f>
        <v>4</v>
      </c>
      <c r="BC31" s="112"/>
      <c r="BD31" s="113" t="str">
        <f t="shared" si="46"/>
        <v xml:space="preserve">Historia III - </v>
      </c>
      <c r="BE31" s="114">
        <f t="shared" si="47"/>
        <v>4</v>
      </c>
    </row>
    <row r="32" spans="1:57" ht="16" x14ac:dyDescent="0.2">
      <c r="A32" s="373"/>
      <c r="B32" s="341">
        <v>5</v>
      </c>
      <c r="C32" s="342" t="s">
        <v>441</v>
      </c>
      <c r="D32" s="343" t="s">
        <v>498</v>
      </c>
      <c r="E32" s="344"/>
      <c r="F32" s="344"/>
      <c r="G32" s="344"/>
      <c r="H32" s="344"/>
      <c r="I32" s="344"/>
      <c r="J32" s="344" t="s">
        <v>477</v>
      </c>
      <c r="K32" s="344" t="s">
        <v>502</v>
      </c>
      <c r="L32" s="344"/>
      <c r="M32" s="344"/>
      <c r="N32" s="344"/>
      <c r="O32" s="344"/>
      <c r="P32" s="344" t="s">
        <v>532</v>
      </c>
      <c r="Q32" s="118"/>
      <c r="R32" s="118"/>
      <c r="S32" s="118"/>
      <c r="T32" s="43"/>
      <c r="U32" s="43"/>
      <c r="V32" s="29" t="str">
        <f>IF(eColision(D32:U32),"X","")</f>
        <v/>
      </c>
      <c r="W32" s="394"/>
      <c r="X32" s="391"/>
      <c r="Y32" s="110" t="s">
        <v>60</v>
      </c>
      <c r="Z32" s="110" t="s">
        <v>65</v>
      </c>
      <c r="AA32" s="111" t="s">
        <v>66</v>
      </c>
      <c r="AB32" s="7"/>
      <c r="AC32" s="396"/>
      <c r="AD32" s="391"/>
      <c r="AE32" s="110" t="s">
        <v>60</v>
      </c>
      <c r="AF32" s="110" t="s">
        <v>65</v>
      </c>
      <c r="AG32" s="111" t="s">
        <v>66</v>
      </c>
      <c r="AI32" s="106" t="str">
        <f>'Carga horaria'!G7</f>
        <v>FCE III</v>
      </c>
      <c r="AJ32" s="6">
        <f>'Carga horaria'!H7</f>
        <v>2</v>
      </c>
      <c r="AK32" s="112"/>
      <c r="AL32" s="113" t="str">
        <f t="shared" si="40"/>
        <v xml:space="preserve">FCE III - </v>
      </c>
      <c r="AM32" s="114">
        <f t="shared" si="41"/>
        <v>2</v>
      </c>
      <c r="AO32" s="106" t="str">
        <f>'Carga horaria'!G7</f>
        <v>FCE III</v>
      </c>
      <c r="AP32" s="6">
        <f>'Carga horaria'!H7</f>
        <v>2</v>
      </c>
      <c r="AQ32" s="112" t="s">
        <v>313</v>
      </c>
      <c r="AR32" s="113" t="str">
        <f t="shared" si="42"/>
        <v>FCE III - Agustín</v>
      </c>
      <c r="AS32" s="114">
        <f t="shared" si="43"/>
        <v>2</v>
      </c>
      <c r="AT32" s="24"/>
      <c r="AU32" s="106" t="str">
        <f>'Carga horaria'!G7</f>
        <v>FCE III</v>
      </c>
      <c r="AV32" s="6">
        <f>'Carga horaria'!H7</f>
        <v>2</v>
      </c>
      <c r="AW32" s="112"/>
      <c r="AX32" s="113" t="str">
        <f t="shared" si="44"/>
        <v xml:space="preserve">FCE III - </v>
      </c>
      <c r="AY32" s="114">
        <f t="shared" si="45"/>
        <v>2</v>
      </c>
      <c r="BA32" s="106" t="str">
        <f>'Carga horaria'!G7</f>
        <v>FCE III</v>
      </c>
      <c r="BB32" s="6">
        <f>'Carga horaria'!H7</f>
        <v>2</v>
      </c>
      <c r="BC32" s="112"/>
      <c r="BD32" s="113" t="str">
        <f t="shared" si="46"/>
        <v xml:space="preserve">FCE III - </v>
      </c>
      <c r="BE32" s="114">
        <f t="shared" si="47"/>
        <v>2</v>
      </c>
    </row>
    <row r="33" spans="1:57" x14ac:dyDescent="0.2">
      <c r="A33" s="373"/>
      <c r="B33" s="341">
        <v>6</v>
      </c>
      <c r="C33" s="342" t="s">
        <v>466</v>
      </c>
      <c r="D33" s="343" t="s">
        <v>500</v>
      </c>
      <c r="E33" s="344"/>
      <c r="F33" s="344"/>
      <c r="G33" s="344"/>
      <c r="H33" s="344"/>
      <c r="I33" s="344"/>
      <c r="J33" s="344" t="s">
        <v>526</v>
      </c>
      <c r="K33" s="344" t="s">
        <v>487</v>
      </c>
      <c r="L33" s="344"/>
      <c r="M33" s="344"/>
      <c r="N33" s="344"/>
      <c r="O33" s="344"/>
      <c r="P33" s="344" t="s">
        <v>532</v>
      </c>
      <c r="Q33" s="118"/>
      <c r="R33" s="118"/>
      <c r="S33" s="118"/>
      <c r="T33" s="43"/>
      <c r="U33" s="43"/>
      <c r="V33" s="29" t="str">
        <f>IF(eColision(D33:U33),"X","")</f>
        <v/>
      </c>
      <c r="W33" s="25" t="str">
        <f>'Carga horaria'!G3</f>
        <v>Español III</v>
      </c>
      <c r="X33" s="6">
        <f>'Carga horaria'!H3</f>
        <v>5</v>
      </c>
      <c r="Y33" s="112" t="str">
        <f>'EST24'!E27</f>
        <v>SANDRA</v>
      </c>
      <c r="Z33" s="113" t="str">
        <f t="shared" ref="Z33:Z42" si="52">CONCATENATE(W33," - ", Y33)</f>
        <v>Español III - SANDRA</v>
      </c>
      <c r="AA33" s="114">
        <f t="shared" ref="AA33:AA42" si="53">X33-COUNTIF(htA,Z33)</f>
        <v>0</v>
      </c>
      <c r="AB33" s="7"/>
      <c r="AC33" s="106" t="str">
        <f>'Carga horaria'!G3</f>
        <v>Español III</v>
      </c>
      <c r="AD33" s="6">
        <f>'Carga horaria'!H3</f>
        <v>5</v>
      </c>
      <c r="AE33" s="112">
        <f>'EST24'!G27</f>
        <v>0</v>
      </c>
      <c r="AF33" s="113" t="str">
        <f t="shared" ref="AF33:AF42" si="54">CONCATENATE(AC33," - ", AE33)</f>
        <v>Español III - 0</v>
      </c>
      <c r="AG33" s="114">
        <f t="shared" ref="AG33:AG42" si="55">AD33-COUNTIF(htB,AF33)</f>
        <v>5</v>
      </c>
      <c r="AI33" s="106" t="str">
        <f>'Carga horaria'!G8</f>
        <v>Inglés III</v>
      </c>
      <c r="AJ33" s="6">
        <f>'Carga horaria'!H8</f>
        <v>3</v>
      </c>
      <c r="AK33" s="112"/>
      <c r="AL33" s="113" t="str">
        <f t="shared" si="40"/>
        <v xml:space="preserve">Inglés III - </v>
      </c>
      <c r="AM33" s="114">
        <f t="shared" si="41"/>
        <v>3</v>
      </c>
      <c r="AO33" s="106" t="str">
        <f>'Carga horaria'!G8</f>
        <v>Inglés III</v>
      </c>
      <c r="AP33" s="6">
        <f>'Carga horaria'!H8</f>
        <v>3</v>
      </c>
      <c r="AQ33" s="112" t="s">
        <v>311</v>
      </c>
      <c r="AR33" s="113" t="str">
        <f t="shared" si="42"/>
        <v>Inglés III - Mayra G.</v>
      </c>
      <c r="AS33" s="114">
        <f t="shared" si="43"/>
        <v>3</v>
      </c>
      <c r="AT33" s="24"/>
      <c r="AU33" s="106" t="str">
        <f>'Carga horaria'!G8</f>
        <v>Inglés III</v>
      </c>
      <c r="AV33" s="6">
        <f>'Carga horaria'!H8</f>
        <v>3</v>
      </c>
      <c r="AW33" s="112"/>
      <c r="AX33" s="113" t="str">
        <f t="shared" si="44"/>
        <v xml:space="preserve">Inglés III - </v>
      </c>
      <c r="AY33" s="114">
        <f t="shared" si="45"/>
        <v>3</v>
      </c>
      <c r="BA33" s="106" t="str">
        <f>'Carga horaria'!G8</f>
        <v>Inglés III</v>
      </c>
      <c r="BB33" s="6">
        <f>'Carga horaria'!H8</f>
        <v>3</v>
      </c>
      <c r="BC33" s="112"/>
      <c r="BD33" s="113" t="str">
        <f t="shared" si="46"/>
        <v xml:space="preserve">Inglés III - </v>
      </c>
      <c r="BE33" s="114">
        <f t="shared" si="47"/>
        <v>3</v>
      </c>
    </row>
    <row r="34" spans="1:57" x14ac:dyDescent="0.2">
      <c r="A34" s="373"/>
      <c r="B34" s="346">
        <v>7</v>
      </c>
      <c r="C34" s="342" t="s">
        <v>467</v>
      </c>
      <c r="D34" s="343" t="s">
        <v>529</v>
      </c>
      <c r="E34" s="344"/>
      <c r="F34" s="344"/>
      <c r="G34" s="344"/>
      <c r="H34" s="344"/>
      <c r="I34" s="344"/>
      <c r="J34" s="344" t="s">
        <v>487</v>
      </c>
      <c r="K34" s="344" t="s">
        <v>532</v>
      </c>
      <c r="L34" s="344"/>
      <c r="M34" s="344"/>
      <c r="N34" s="344"/>
      <c r="O34" s="344"/>
      <c r="P34" s="344" t="s">
        <v>497</v>
      </c>
      <c r="Q34" s="118"/>
      <c r="R34" s="118"/>
      <c r="S34" s="118"/>
      <c r="T34" s="43"/>
      <c r="U34" s="43"/>
      <c r="V34" s="29" t="str">
        <f>IF(eColision(D34:U34),"X","")</f>
        <v/>
      </c>
      <c r="W34" s="25" t="str">
        <f>'Carga horaria'!G4</f>
        <v>Matemáticas III</v>
      </c>
      <c r="X34" s="6">
        <f>'Carga horaria'!H4</f>
        <v>5</v>
      </c>
      <c r="Y34" s="112" t="str">
        <f>'EST24'!E28</f>
        <v>MANUEL</v>
      </c>
      <c r="Z34" s="113" t="str">
        <f t="shared" si="52"/>
        <v>Matemáticas III - MANUEL</v>
      </c>
      <c r="AA34" s="114">
        <f t="shared" si="53"/>
        <v>0</v>
      </c>
      <c r="AB34" s="7"/>
      <c r="AC34" s="106" t="str">
        <f>'Carga horaria'!G4</f>
        <v>Matemáticas III</v>
      </c>
      <c r="AD34" s="6">
        <f>'Carga horaria'!H4</f>
        <v>5</v>
      </c>
      <c r="AE34" s="112">
        <f>'EST24'!G28</f>
        <v>0</v>
      </c>
      <c r="AF34" s="113" t="str">
        <f t="shared" si="54"/>
        <v>Matemáticas III - 0</v>
      </c>
      <c r="AG34" s="114">
        <f t="shared" si="55"/>
        <v>5</v>
      </c>
      <c r="AI34" s="106" t="str">
        <f>'Carga horaria'!G9</f>
        <v>Educ. Física III</v>
      </c>
      <c r="AJ34" s="6">
        <f>'Carga horaria'!H9</f>
        <v>2</v>
      </c>
      <c r="AK34" s="112"/>
      <c r="AL34" s="113" t="str">
        <f t="shared" si="40"/>
        <v xml:space="preserve">Educ. Física III - </v>
      </c>
      <c r="AM34" s="114">
        <f t="shared" si="41"/>
        <v>2</v>
      </c>
      <c r="AO34" s="106" t="str">
        <f>'Carga horaria'!G9</f>
        <v>Educ. Física III</v>
      </c>
      <c r="AP34" s="6">
        <f>'Carga horaria'!H9</f>
        <v>2</v>
      </c>
      <c r="AQ34" s="112" t="s">
        <v>312</v>
      </c>
      <c r="AR34" s="113" t="str">
        <f t="shared" si="42"/>
        <v>Educ. Física III - Blanca D.</v>
      </c>
      <c r="AS34" s="114">
        <f t="shared" si="43"/>
        <v>2</v>
      </c>
      <c r="AT34" s="24"/>
      <c r="AU34" s="106" t="str">
        <f>'Carga horaria'!G9</f>
        <v>Educ. Física III</v>
      </c>
      <c r="AV34" s="6">
        <f>'Carga horaria'!H9</f>
        <v>2</v>
      </c>
      <c r="AW34" s="112"/>
      <c r="AX34" s="113" t="str">
        <f t="shared" si="44"/>
        <v xml:space="preserve">Educ. Física III - </v>
      </c>
      <c r="AY34" s="114">
        <f t="shared" si="45"/>
        <v>2</v>
      </c>
      <c r="BA34" s="106" t="str">
        <f>'Carga horaria'!G9</f>
        <v>Educ. Física III</v>
      </c>
      <c r="BB34" s="6">
        <f>'Carga horaria'!H9</f>
        <v>2</v>
      </c>
      <c r="BC34" s="112"/>
      <c r="BD34" s="113" t="str">
        <f t="shared" si="46"/>
        <v xml:space="preserve">Educ. Física III - </v>
      </c>
      <c r="BE34" s="114">
        <f t="shared" si="47"/>
        <v>2</v>
      </c>
    </row>
    <row r="35" spans="1:57" ht="16" thickBot="1" x14ac:dyDescent="0.25">
      <c r="A35" s="374"/>
      <c r="B35" s="347">
        <v>8</v>
      </c>
      <c r="C35" s="348" t="s">
        <v>468</v>
      </c>
      <c r="D35" s="349" t="s">
        <v>529</v>
      </c>
      <c r="E35" s="350"/>
      <c r="F35" s="350"/>
      <c r="G35" s="350"/>
      <c r="H35" s="350"/>
      <c r="I35" s="350"/>
      <c r="J35" s="351" t="s">
        <v>496</v>
      </c>
      <c r="K35" s="350" t="s">
        <v>532</v>
      </c>
      <c r="L35" s="350"/>
      <c r="M35" s="350"/>
      <c r="N35" s="350"/>
      <c r="O35" s="350"/>
      <c r="P35" s="350" t="s">
        <v>486</v>
      </c>
      <c r="Q35" s="297"/>
      <c r="R35" s="297"/>
      <c r="S35" s="297"/>
      <c r="T35" s="88"/>
      <c r="U35" s="88"/>
      <c r="V35" s="30" t="str">
        <f>IF(eColision(D35:U35),"X","")</f>
        <v/>
      </c>
      <c r="W35" s="25" t="str">
        <f>'Carga horaria'!G5</f>
        <v>Ciencias III</v>
      </c>
      <c r="X35" s="6">
        <f>'Carga horaria'!H5</f>
        <v>6</v>
      </c>
      <c r="Y35" s="112" t="str">
        <f>'EST24'!E29</f>
        <v>CARLOS</v>
      </c>
      <c r="Z35" s="113" t="str">
        <f t="shared" si="52"/>
        <v>Ciencias III - CARLOS</v>
      </c>
      <c r="AA35" s="114">
        <f t="shared" si="53"/>
        <v>0</v>
      </c>
      <c r="AB35" s="7"/>
      <c r="AC35" s="106" t="str">
        <f>'Carga horaria'!G5</f>
        <v>Ciencias III</v>
      </c>
      <c r="AD35" s="6">
        <f>'Carga horaria'!H5</f>
        <v>6</v>
      </c>
      <c r="AE35" s="112">
        <f>'EST24'!G29</f>
        <v>0</v>
      </c>
      <c r="AF35" s="113" t="str">
        <f t="shared" si="54"/>
        <v>Ciencias III - 0</v>
      </c>
      <c r="AG35" s="114">
        <f t="shared" si="55"/>
        <v>6</v>
      </c>
      <c r="AI35" s="106" t="str">
        <f>'Carga horaria'!G10</f>
        <v>Artes III</v>
      </c>
      <c r="AJ35" s="6">
        <f>'Carga horaria'!H10</f>
        <v>3</v>
      </c>
      <c r="AK35" s="112"/>
      <c r="AL35" s="113" t="str">
        <f t="shared" si="40"/>
        <v xml:space="preserve">Artes III - </v>
      </c>
      <c r="AM35" s="114">
        <f t="shared" si="41"/>
        <v>3</v>
      </c>
      <c r="AO35" s="106" t="str">
        <f>'Carga horaria'!G10</f>
        <v>Artes III</v>
      </c>
      <c r="AP35" s="6">
        <f>'Carga horaria'!H10</f>
        <v>3</v>
      </c>
      <c r="AQ35" s="112"/>
      <c r="AR35" s="113" t="str">
        <f t="shared" si="42"/>
        <v xml:space="preserve">Artes III - </v>
      </c>
      <c r="AS35" s="114">
        <f t="shared" si="43"/>
        <v>3</v>
      </c>
      <c r="AT35" s="24"/>
      <c r="AU35" s="106" t="str">
        <f>'Carga horaria'!G10</f>
        <v>Artes III</v>
      </c>
      <c r="AV35" s="6">
        <f>'Carga horaria'!H10</f>
        <v>3</v>
      </c>
      <c r="AW35" s="112"/>
      <c r="AX35" s="113" t="str">
        <f t="shared" si="44"/>
        <v xml:space="preserve">Artes III - </v>
      </c>
      <c r="AY35" s="114">
        <f t="shared" si="45"/>
        <v>3</v>
      </c>
      <c r="BA35" s="106" t="str">
        <f>'Carga horaria'!G10</f>
        <v>Artes III</v>
      </c>
      <c r="BB35" s="6">
        <f>'Carga horaria'!H10</f>
        <v>3</v>
      </c>
      <c r="BC35" s="112"/>
      <c r="BD35" s="113" t="str">
        <f t="shared" si="46"/>
        <v xml:space="preserve">Artes III - </v>
      </c>
      <c r="BE35" s="114">
        <f t="shared" si="47"/>
        <v>3</v>
      </c>
    </row>
    <row r="36" spans="1:57" ht="16" thickTop="1" x14ac:dyDescent="0.2">
      <c r="A36" s="369" t="s">
        <v>56</v>
      </c>
      <c r="B36" s="75">
        <v>1</v>
      </c>
      <c r="C36" s="77" t="s">
        <v>199</v>
      </c>
      <c r="D36" s="260" t="s">
        <v>488</v>
      </c>
      <c r="E36" s="261"/>
      <c r="F36" s="261"/>
      <c r="G36" s="261"/>
      <c r="H36" s="261"/>
      <c r="I36" s="261"/>
      <c r="J36" s="261" t="s">
        <v>482</v>
      </c>
      <c r="K36" s="261" t="s">
        <v>489</v>
      </c>
      <c r="L36" s="261"/>
      <c r="M36" s="261"/>
      <c r="N36" s="261"/>
      <c r="O36" s="261"/>
      <c r="P36" s="261" t="s">
        <v>478</v>
      </c>
      <c r="Q36" s="299"/>
      <c r="R36" s="299"/>
      <c r="S36" s="299"/>
      <c r="T36" s="55"/>
      <c r="U36" s="55"/>
      <c r="V36" s="32" t="str">
        <f>IF(eColision(D36:U36),"X","")</f>
        <v/>
      </c>
      <c r="W36" s="25" t="str">
        <f>'Carga horaria'!G6</f>
        <v>Historia III</v>
      </c>
      <c r="X36" s="6">
        <f>'Carga horaria'!H6</f>
        <v>4</v>
      </c>
      <c r="Y36" s="112" t="str">
        <f>'EST24'!E30</f>
        <v>JOSE</v>
      </c>
      <c r="Z36" s="113" t="str">
        <f t="shared" si="52"/>
        <v>Historia III - JOSE</v>
      </c>
      <c r="AA36" s="114">
        <f t="shared" si="53"/>
        <v>0</v>
      </c>
      <c r="AB36" s="7"/>
      <c r="AC36" s="106" t="str">
        <f>'Carga horaria'!G6</f>
        <v>Historia III</v>
      </c>
      <c r="AD36" s="6">
        <f>'Carga horaria'!H6</f>
        <v>4</v>
      </c>
      <c r="AE36" s="112">
        <f>'EST24'!G30</f>
        <v>0</v>
      </c>
      <c r="AF36" s="113" t="str">
        <f t="shared" si="54"/>
        <v>Historia III - 0</v>
      </c>
      <c r="AG36" s="114">
        <f t="shared" si="55"/>
        <v>4</v>
      </c>
      <c r="AI36" s="106" t="str">
        <f>'Carga horaria'!G11</f>
        <v>Tutoría</v>
      </c>
      <c r="AJ36" s="6">
        <f>'Carga horaria'!H11</f>
        <v>1</v>
      </c>
      <c r="AK36" s="112"/>
      <c r="AL36" s="113" t="str">
        <f t="shared" si="40"/>
        <v xml:space="preserve">Tutoría - </v>
      </c>
      <c r="AM36" s="114">
        <f t="shared" si="41"/>
        <v>1</v>
      </c>
      <c r="AO36" s="106" t="str">
        <f>'Carga horaria'!G11</f>
        <v>Tutoría</v>
      </c>
      <c r="AP36" s="6">
        <f>'Carga horaria'!H11</f>
        <v>1</v>
      </c>
      <c r="AQ36" s="112" t="s">
        <v>306</v>
      </c>
      <c r="AR36" s="113" t="str">
        <f t="shared" si="42"/>
        <v>Tutoría - Martha A.</v>
      </c>
      <c r="AS36" s="114">
        <f t="shared" si="43"/>
        <v>1</v>
      </c>
      <c r="AT36" s="24"/>
      <c r="AU36" s="106" t="str">
        <f>'Carga horaria'!G11</f>
        <v>Tutoría</v>
      </c>
      <c r="AV36" s="6">
        <f>'Carga horaria'!H11</f>
        <v>1</v>
      </c>
      <c r="AW36" s="112"/>
      <c r="AX36" s="113" t="str">
        <f t="shared" si="44"/>
        <v xml:space="preserve">Tutoría - </v>
      </c>
      <c r="AY36" s="114">
        <f t="shared" si="45"/>
        <v>1</v>
      </c>
      <c r="BA36" s="106" t="str">
        <f>'Carga horaria'!G11</f>
        <v>Tutoría</v>
      </c>
      <c r="BB36" s="6">
        <f>'Carga horaria'!H11</f>
        <v>1</v>
      </c>
      <c r="BC36" s="112"/>
      <c r="BD36" s="113" t="str">
        <f t="shared" si="46"/>
        <v xml:space="preserve">Tutoría - </v>
      </c>
      <c r="BE36" s="114">
        <f t="shared" si="47"/>
        <v>1</v>
      </c>
    </row>
    <row r="37" spans="1:57" ht="16" thickBot="1" x14ac:dyDescent="0.25">
      <c r="A37" s="370"/>
      <c r="B37" s="76">
        <v>2</v>
      </c>
      <c r="C37" s="78" t="s">
        <v>198</v>
      </c>
      <c r="D37" s="41" t="s">
        <v>483</v>
      </c>
      <c r="E37" s="119"/>
      <c r="F37" s="119"/>
      <c r="G37" s="119"/>
      <c r="H37" s="119"/>
      <c r="I37" s="119"/>
      <c r="J37" s="119" t="s">
        <v>489</v>
      </c>
      <c r="K37" s="119" t="s">
        <v>487</v>
      </c>
      <c r="L37" s="119"/>
      <c r="M37" s="119"/>
      <c r="N37" s="119"/>
      <c r="O37" s="119"/>
      <c r="P37" s="119" t="s">
        <v>525</v>
      </c>
      <c r="Q37" s="118"/>
      <c r="R37" s="118"/>
      <c r="S37" s="118"/>
      <c r="T37" s="43"/>
      <c r="U37" s="43"/>
      <c r="V37" s="29" t="str">
        <f>IF(eColision(D37:U37),"X","")</f>
        <v/>
      </c>
      <c r="W37" s="25" t="str">
        <f>'Carga horaria'!G7</f>
        <v>FCE III</v>
      </c>
      <c r="X37" s="6">
        <f>'Carga horaria'!H7</f>
        <v>2</v>
      </c>
      <c r="Y37" s="112" t="str">
        <f>'EST24'!E31</f>
        <v>MELISSA</v>
      </c>
      <c r="Z37" s="113" t="str">
        <f t="shared" si="52"/>
        <v>FCE III - MELISSA</v>
      </c>
      <c r="AA37" s="114">
        <f t="shared" si="53"/>
        <v>0</v>
      </c>
      <c r="AB37" s="7"/>
      <c r="AC37" s="106" t="str">
        <f>'Carga horaria'!G7</f>
        <v>FCE III</v>
      </c>
      <c r="AD37" s="6">
        <f>'Carga horaria'!H7</f>
        <v>2</v>
      </c>
      <c r="AE37" s="112">
        <f>'EST24'!G31</f>
        <v>0</v>
      </c>
      <c r="AF37" s="113" t="str">
        <f t="shared" si="54"/>
        <v>FCE III - 0</v>
      </c>
      <c r="AG37" s="114">
        <f t="shared" si="55"/>
        <v>2</v>
      </c>
      <c r="AI37" s="107" t="str">
        <f>'Carga horaria'!G12</f>
        <v>Tecnología</v>
      </c>
      <c r="AJ37" s="64">
        <f>'Carga horaria'!H12</f>
        <v>8</v>
      </c>
      <c r="AK37" s="115"/>
      <c r="AL37" s="116" t="str">
        <f t="shared" si="40"/>
        <v xml:space="preserve">Tecnología - </v>
      </c>
      <c r="AM37" s="117">
        <f t="shared" si="41"/>
        <v>8</v>
      </c>
      <c r="AO37" s="107" t="str">
        <f>'Carga horaria'!G12</f>
        <v>Tecnología</v>
      </c>
      <c r="AP37" s="64">
        <f>'Carga horaria'!H12</f>
        <v>8</v>
      </c>
      <c r="AQ37" s="115"/>
      <c r="AR37" s="116" t="str">
        <f t="shared" si="42"/>
        <v xml:space="preserve">Tecnología - </v>
      </c>
      <c r="AS37" s="117">
        <f t="shared" si="43"/>
        <v>8</v>
      </c>
      <c r="AT37" s="108"/>
      <c r="AU37" s="107" t="str">
        <f>'Carga horaria'!G12</f>
        <v>Tecnología</v>
      </c>
      <c r="AV37" s="64">
        <f>'Carga horaria'!H12</f>
        <v>8</v>
      </c>
      <c r="AW37" s="115"/>
      <c r="AX37" s="116" t="str">
        <f t="shared" si="44"/>
        <v xml:space="preserve">Tecnología - </v>
      </c>
      <c r="AY37" s="117">
        <f t="shared" si="45"/>
        <v>8</v>
      </c>
      <c r="BA37" s="107" t="str">
        <f>'Carga horaria'!G12</f>
        <v>Tecnología</v>
      </c>
      <c r="BB37" s="64">
        <f>'Carga horaria'!H12</f>
        <v>8</v>
      </c>
      <c r="BC37" s="115"/>
      <c r="BD37" s="116" t="str">
        <f t="shared" si="46"/>
        <v xml:space="preserve">Tecnología - </v>
      </c>
      <c r="BE37" s="117">
        <f t="shared" si="47"/>
        <v>8</v>
      </c>
    </row>
    <row r="38" spans="1:57" x14ac:dyDescent="0.2">
      <c r="A38" s="370"/>
      <c r="B38" s="76">
        <v>3</v>
      </c>
      <c r="C38" s="78" t="s">
        <v>439</v>
      </c>
      <c r="D38" s="41" t="s">
        <v>527</v>
      </c>
      <c r="E38" s="119"/>
      <c r="F38" s="119"/>
      <c r="G38" s="119"/>
      <c r="H38" s="119"/>
      <c r="I38" s="119"/>
      <c r="J38" s="119" t="s">
        <v>496</v>
      </c>
      <c r="K38" s="119" t="s">
        <v>487</v>
      </c>
      <c r="L38" s="119"/>
      <c r="M38" s="119"/>
      <c r="N38" s="119"/>
      <c r="O38" s="119"/>
      <c r="P38" s="119" t="s">
        <v>490</v>
      </c>
      <c r="Q38" s="118"/>
      <c r="R38" s="118"/>
      <c r="S38" s="118"/>
      <c r="T38" s="43"/>
      <c r="U38" s="43"/>
      <c r="V38" s="29" t="str">
        <f>IF(eColision(D38:U38),"X","")</f>
        <v/>
      </c>
      <c r="W38" s="25" t="str">
        <f>'Carga horaria'!G8</f>
        <v>Inglés III</v>
      </c>
      <c r="X38" s="6">
        <f>'Carga horaria'!H8</f>
        <v>3</v>
      </c>
      <c r="Y38" s="112" t="str">
        <f>'EST24'!E32</f>
        <v>GUSTAVO</v>
      </c>
      <c r="Z38" s="113" t="str">
        <f t="shared" si="52"/>
        <v>Inglés III - GUSTAVO</v>
      </c>
      <c r="AA38" s="114">
        <f t="shared" si="53"/>
        <v>0</v>
      </c>
      <c r="AB38" s="7"/>
      <c r="AC38" s="106" t="str">
        <f>'Carga horaria'!G8</f>
        <v>Inglés III</v>
      </c>
      <c r="AD38" s="6">
        <f>'Carga horaria'!H8</f>
        <v>3</v>
      </c>
      <c r="AE38" s="112">
        <f>'EST24'!G32</f>
        <v>0</v>
      </c>
      <c r="AF38" s="113" t="str">
        <f t="shared" si="54"/>
        <v>Inglés III - 0</v>
      </c>
      <c r="AG38" s="114">
        <f t="shared" si="55"/>
        <v>3</v>
      </c>
    </row>
    <row r="39" spans="1:57" x14ac:dyDescent="0.2">
      <c r="A39" s="370"/>
      <c r="B39" s="76">
        <v>4</v>
      </c>
      <c r="C39" s="78" t="s">
        <v>440</v>
      </c>
      <c r="D39" s="41" t="s">
        <v>533</v>
      </c>
      <c r="E39" s="119"/>
      <c r="F39" s="119"/>
      <c r="G39" s="119"/>
      <c r="H39" s="119"/>
      <c r="I39" s="119"/>
      <c r="J39" s="119" t="s">
        <v>496</v>
      </c>
      <c r="K39" s="119" t="s">
        <v>491</v>
      </c>
      <c r="L39" s="119"/>
      <c r="M39" s="119"/>
      <c r="N39" s="119"/>
      <c r="O39" s="119"/>
      <c r="P39" s="119" t="s">
        <v>532</v>
      </c>
      <c r="Q39" s="118"/>
      <c r="R39" s="118"/>
      <c r="S39" s="118"/>
      <c r="T39" s="43"/>
      <c r="U39" s="43"/>
      <c r="V39" s="29" t="str">
        <f>IF(eColision(D39:U39),"X","")</f>
        <v/>
      </c>
      <c r="W39" s="25" t="str">
        <f>'Carga horaria'!G9</f>
        <v>Educ. Física III</v>
      </c>
      <c r="X39" s="6">
        <f>'Carga horaria'!H9</f>
        <v>2</v>
      </c>
      <c r="Y39" s="112" t="str">
        <f>'EST24'!E33</f>
        <v>MACEDONIO</v>
      </c>
      <c r="Z39" s="113" t="str">
        <f t="shared" si="52"/>
        <v>Educ. Física III - MACEDONIO</v>
      </c>
      <c r="AA39" s="114">
        <f t="shared" si="53"/>
        <v>0</v>
      </c>
      <c r="AB39" s="7"/>
      <c r="AC39" s="106" t="str">
        <f>'Carga horaria'!G9</f>
        <v>Educ. Física III</v>
      </c>
      <c r="AD39" s="6">
        <f>'Carga horaria'!H9</f>
        <v>2</v>
      </c>
      <c r="AE39" s="112">
        <f>'EST24'!G33</f>
        <v>0</v>
      </c>
      <c r="AF39" s="113" t="str">
        <f t="shared" si="54"/>
        <v>Educ. Física III - 0</v>
      </c>
      <c r="AG39" s="114">
        <f t="shared" si="55"/>
        <v>2</v>
      </c>
      <c r="AH39" s="7"/>
      <c r="AI39" s="7"/>
      <c r="AJ39" s="109"/>
      <c r="AK39" s="7"/>
      <c r="AL39" s="7"/>
      <c r="AM39" s="7"/>
      <c r="AN39" s="7"/>
      <c r="AO39" s="7"/>
      <c r="AP39" s="109"/>
      <c r="AQ39" s="7"/>
      <c r="AR39" s="33"/>
      <c r="AS39" s="7"/>
      <c r="AT39" s="7"/>
      <c r="AU39" s="7"/>
      <c r="AV39" s="109"/>
      <c r="AW39" s="109"/>
      <c r="AX39" s="7"/>
      <c r="AY39" s="7"/>
      <c r="AZ39" s="7"/>
      <c r="BA39" s="7"/>
      <c r="BB39" s="109"/>
      <c r="BC39" s="7"/>
      <c r="BD39" s="7"/>
      <c r="BE39" s="7"/>
    </row>
    <row r="40" spans="1:57" x14ac:dyDescent="0.2">
      <c r="A40" s="370"/>
      <c r="B40" s="76">
        <v>5</v>
      </c>
      <c r="C40" s="78" t="s">
        <v>441</v>
      </c>
      <c r="D40" s="41" t="s">
        <v>533</v>
      </c>
      <c r="E40" s="119"/>
      <c r="F40" s="119"/>
      <c r="G40" s="119"/>
      <c r="H40" s="119"/>
      <c r="I40" s="119"/>
      <c r="J40" s="119" t="s">
        <v>487</v>
      </c>
      <c r="K40" s="119" t="s">
        <v>491</v>
      </c>
      <c r="L40" s="119"/>
      <c r="M40" s="119"/>
      <c r="N40" s="119"/>
      <c r="O40" s="119"/>
      <c r="P40" s="119" t="s">
        <v>495</v>
      </c>
      <c r="Q40" s="118"/>
      <c r="R40" s="118"/>
      <c r="S40" s="118"/>
      <c r="T40" s="43"/>
      <c r="U40" s="43"/>
      <c r="V40" s="29" t="str">
        <f>IF(eColision(D40:U40),"X","")</f>
        <v/>
      </c>
      <c r="W40" s="25" t="str">
        <f>'Carga horaria'!G10</f>
        <v>Artes III</v>
      </c>
      <c r="X40" s="6">
        <f>'Carga horaria'!H10</f>
        <v>3</v>
      </c>
      <c r="Y40" s="112" t="str">
        <f>'EST24'!E34</f>
        <v>JOSE</v>
      </c>
      <c r="Z40" s="113" t="str">
        <f t="shared" si="52"/>
        <v>Artes III - JOSE</v>
      </c>
      <c r="AA40" s="114">
        <f t="shared" si="53"/>
        <v>0</v>
      </c>
      <c r="AB40" s="7"/>
      <c r="AC40" s="106" t="str">
        <f>'Carga horaria'!G10</f>
        <v>Artes III</v>
      </c>
      <c r="AD40" s="6">
        <f>'Carga horaria'!H10</f>
        <v>3</v>
      </c>
      <c r="AE40" s="112">
        <f>'EST24'!G34</f>
        <v>0</v>
      </c>
      <c r="AF40" s="113" t="str">
        <f t="shared" si="54"/>
        <v>Artes III - 0</v>
      </c>
      <c r="AG40" s="114">
        <f t="shared" si="55"/>
        <v>3</v>
      </c>
    </row>
    <row r="41" spans="1:57" x14ac:dyDescent="0.2">
      <c r="A41" s="370"/>
      <c r="B41" s="76">
        <v>6</v>
      </c>
      <c r="C41" s="78" t="s">
        <v>466</v>
      </c>
      <c r="D41" s="41" t="s">
        <v>529</v>
      </c>
      <c r="E41" s="119"/>
      <c r="F41" s="119"/>
      <c r="G41" s="119"/>
      <c r="H41" s="119"/>
      <c r="I41" s="119"/>
      <c r="J41" s="119" t="s">
        <v>487</v>
      </c>
      <c r="K41" s="119" t="s">
        <v>532</v>
      </c>
      <c r="L41" s="119"/>
      <c r="M41" s="119"/>
      <c r="N41" s="119"/>
      <c r="O41" s="119"/>
      <c r="P41" s="119" t="s">
        <v>497</v>
      </c>
      <c r="Q41" s="118"/>
      <c r="R41" s="118"/>
      <c r="S41" s="118"/>
      <c r="T41" s="43"/>
      <c r="U41" s="43"/>
      <c r="V41" s="29" t="str">
        <f>IF(eColision(D41:U41),"X","")</f>
        <v/>
      </c>
      <c r="W41" s="25" t="str">
        <f>'Carga horaria'!G11</f>
        <v>Tutoría</v>
      </c>
      <c r="X41" s="6">
        <f>'Carga horaria'!H11</f>
        <v>1</v>
      </c>
      <c r="Y41" s="112" t="str">
        <f>'EST24'!E35</f>
        <v>MELISSA</v>
      </c>
      <c r="Z41" s="113" t="str">
        <f t="shared" si="52"/>
        <v>Tutoría - MELISSA</v>
      </c>
      <c r="AA41" s="114">
        <f t="shared" si="53"/>
        <v>0</v>
      </c>
      <c r="AB41" s="7"/>
      <c r="AC41" s="106" t="str">
        <f>'Carga horaria'!G11</f>
        <v>Tutoría</v>
      </c>
      <c r="AD41" s="6">
        <f>'Carga horaria'!H11</f>
        <v>1</v>
      </c>
      <c r="AE41" s="112">
        <f>'EST24'!G35</f>
        <v>0</v>
      </c>
      <c r="AF41" s="113" t="str">
        <f t="shared" si="54"/>
        <v>Tutoría - 0</v>
      </c>
      <c r="AG41" s="114">
        <f t="shared" si="55"/>
        <v>1</v>
      </c>
    </row>
    <row r="42" spans="1:57" x14ac:dyDescent="0.2">
      <c r="A42" s="370"/>
      <c r="B42" s="91">
        <v>7</v>
      </c>
      <c r="C42" s="78" t="s">
        <v>467</v>
      </c>
      <c r="D42" s="41" t="s">
        <v>529</v>
      </c>
      <c r="E42" s="119"/>
      <c r="F42" s="119"/>
      <c r="G42" s="119"/>
      <c r="H42" s="119"/>
      <c r="I42" s="119"/>
      <c r="J42" s="119" t="s">
        <v>491</v>
      </c>
      <c r="K42" s="119" t="s">
        <v>532</v>
      </c>
      <c r="L42" s="119"/>
      <c r="M42" s="119"/>
      <c r="N42" s="119"/>
      <c r="O42" s="119"/>
      <c r="P42" s="119" t="s">
        <v>486</v>
      </c>
      <c r="Q42" s="118"/>
      <c r="R42" s="118"/>
      <c r="S42" s="118"/>
      <c r="T42" s="43"/>
      <c r="U42" s="43"/>
      <c r="V42" s="29" t="str">
        <f>IF(eColision(D42:U42),"X","")</f>
        <v/>
      </c>
      <c r="W42" s="335" t="str">
        <f>'Carga horaria'!G12</f>
        <v>Tecnología</v>
      </c>
      <c r="X42" s="6">
        <f>'Carga horaria'!H12</f>
        <v>8</v>
      </c>
      <c r="Y42" s="112" t="str">
        <f>'EST24'!E36</f>
        <v>ABRAHAM</v>
      </c>
      <c r="Z42" s="113" t="str">
        <f t="shared" si="52"/>
        <v>Tecnología - ABRAHAM</v>
      </c>
      <c r="AA42" s="114">
        <f t="shared" si="53"/>
        <v>0</v>
      </c>
      <c r="AB42" s="7"/>
      <c r="AC42" s="106" t="str">
        <f>'Carga horaria'!G12</f>
        <v>Tecnología</v>
      </c>
      <c r="AD42" s="6">
        <f>'Carga horaria'!H12</f>
        <v>8</v>
      </c>
      <c r="AE42" s="112">
        <f>'EST24'!G36</f>
        <v>0</v>
      </c>
      <c r="AF42" s="113" t="str">
        <f t="shared" si="54"/>
        <v>Tecnología - 0</v>
      </c>
      <c r="AG42" s="114">
        <f t="shared" si="55"/>
        <v>8</v>
      </c>
    </row>
    <row r="43" spans="1:57" ht="16" thickBot="1" x14ac:dyDescent="0.25">
      <c r="A43" s="371"/>
      <c r="B43" s="90">
        <v>8</v>
      </c>
      <c r="C43" s="255" t="s">
        <v>468</v>
      </c>
      <c r="D43" s="41" t="s">
        <v>529</v>
      </c>
      <c r="E43" s="257"/>
      <c r="F43" s="257"/>
      <c r="G43" s="257"/>
      <c r="H43" s="257"/>
      <c r="I43" s="257"/>
      <c r="J43" s="119" t="s">
        <v>491</v>
      </c>
      <c r="K43" s="119" t="s">
        <v>532</v>
      </c>
      <c r="L43" s="257"/>
      <c r="M43" s="257"/>
      <c r="N43" s="257"/>
      <c r="O43" s="257"/>
      <c r="P43" s="119" t="s">
        <v>486</v>
      </c>
      <c r="Q43" s="297"/>
      <c r="R43" s="297"/>
      <c r="S43" s="297"/>
      <c r="T43" s="88"/>
      <c r="U43" s="88"/>
      <c r="V43" s="30" t="str">
        <f>IF(eColision(D43:U43),"X","")</f>
        <v/>
      </c>
      <c r="W43" s="336" t="str">
        <f>'Carga horaria'!G13</f>
        <v>A. Curricular</v>
      </c>
      <c r="X43" s="64">
        <f>'Carga horaria'!H13</f>
        <v>1</v>
      </c>
      <c r="Y43" s="115" t="str">
        <f>'EST24'!E37</f>
        <v>ABRAHAM</v>
      </c>
      <c r="Z43" s="116" t="str">
        <f t="shared" ref="Z43" si="56">CONCATENATE(W43," - ", Y43)</f>
        <v>A. Curricular - ABRAHAM</v>
      </c>
      <c r="AA43" s="117">
        <f t="shared" ref="AA43" si="57">X43-COUNTIF(htA,Z43)</f>
        <v>0</v>
      </c>
      <c r="AB43" s="7"/>
      <c r="AC43" s="331" t="str">
        <f>'Carga horaria'!G13</f>
        <v>A. Curricular</v>
      </c>
      <c r="AD43" s="332">
        <f>'Carga horaria'!H13</f>
        <v>1</v>
      </c>
      <c r="AE43" s="112">
        <f>'EST24'!G37</f>
        <v>0</v>
      </c>
      <c r="AF43" s="333" t="str">
        <f t="shared" ref="AF43" si="58">CONCATENATE(AC43," - ", AE43)</f>
        <v>A. Curricular - 0</v>
      </c>
      <c r="AG43" s="334">
        <f t="shared" ref="AG43" si="59">AD43-COUNTIF(htB,AF43)</f>
        <v>1</v>
      </c>
    </row>
    <row r="44" spans="1:57" ht="16" thickTop="1" x14ac:dyDescent="0.2"/>
  </sheetData>
  <mergeCells count="66">
    <mergeCell ref="J2:J3"/>
    <mergeCell ref="K2:K3"/>
    <mergeCell ref="P2:P3"/>
    <mergeCell ref="AE31:AG31"/>
    <mergeCell ref="AD31:AD32"/>
    <mergeCell ref="Y31:AA31"/>
    <mergeCell ref="W31:W32"/>
    <mergeCell ref="X31:X32"/>
    <mergeCell ref="AC31:AC32"/>
    <mergeCell ref="X17:X18"/>
    <mergeCell ref="AD17:AD18"/>
    <mergeCell ref="Y17:AA17"/>
    <mergeCell ref="W17:W18"/>
    <mergeCell ref="AC17:AC18"/>
    <mergeCell ref="BA26:BA27"/>
    <mergeCell ref="BB26:BB27"/>
    <mergeCell ref="BC26:BE26"/>
    <mergeCell ref="AE2:AG2"/>
    <mergeCell ref="AE17:AG17"/>
    <mergeCell ref="AI26:AI27"/>
    <mergeCell ref="AJ26:AJ27"/>
    <mergeCell ref="AK26:AM26"/>
    <mergeCell ref="BA14:BA15"/>
    <mergeCell ref="BB14:BB15"/>
    <mergeCell ref="AW26:AY26"/>
    <mergeCell ref="AQ14:AS14"/>
    <mergeCell ref="AO14:AO15"/>
    <mergeCell ref="AP14:AP15"/>
    <mergeCell ref="AU14:AU15"/>
    <mergeCell ref="AO26:AO27"/>
    <mergeCell ref="A1:C1"/>
    <mergeCell ref="AI14:AI15"/>
    <mergeCell ref="AJ14:AJ15"/>
    <mergeCell ref="AK14:AM14"/>
    <mergeCell ref="V2:V3"/>
    <mergeCell ref="X2:X3"/>
    <mergeCell ref="AD2:AD3"/>
    <mergeCell ref="W2:W3"/>
    <mergeCell ref="Y2:AA2"/>
    <mergeCell ref="AC2:AC3"/>
    <mergeCell ref="AK1:AM1"/>
    <mergeCell ref="AI1:AI2"/>
    <mergeCell ref="AJ1:AJ2"/>
    <mergeCell ref="A2:C3"/>
    <mergeCell ref="D2:D3"/>
    <mergeCell ref="A20:A27"/>
    <mergeCell ref="A28:A35"/>
    <mergeCell ref="A36:A43"/>
    <mergeCell ref="A4:A11"/>
    <mergeCell ref="A12:A19"/>
    <mergeCell ref="AP26:AP27"/>
    <mergeCell ref="AQ26:AS26"/>
    <mergeCell ref="AU26:AU27"/>
    <mergeCell ref="AV26:AV27"/>
    <mergeCell ref="AW14:AY14"/>
    <mergeCell ref="AV14:AV15"/>
    <mergeCell ref="BC14:BE14"/>
    <mergeCell ref="BC1:BE1"/>
    <mergeCell ref="BB1:BB2"/>
    <mergeCell ref="BA1:BA2"/>
    <mergeCell ref="AO1:AO2"/>
    <mergeCell ref="AP1:AP2"/>
    <mergeCell ref="AQ1:AS1"/>
    <mergeCell ref="AU1:AU2"/>
    <mergeCell ref="AW1:AY1"/>
    <mergeCell ref="AV1:AV2"/>
  </mergeCells>
  <conditionalFormatting sqref="AA4:AA13 AA19:AA28 AG4:AG13 AM3:AM12 AS3:AS12 AY3:AY12 BE3:BE12 AA33:AA42 AG19:AG28 AM16:AM25 AS16:AS25 AY16:AY25 BE16:BE25 AG33:AG42 AM28:AM37 AS28:AS37 AY28:AY37 BE28:BE37">
    <cfRule type="cellIs" dxfId="53" priority="31" operator="lessThan">
      <formula>0</formula>
    </cfRule>
    <cfRule type="cellIs" dxfId="52" priority="32" operator="greaterThan">
      <formula>0</formula>
    </cfRule>
  </conditionalFormatting>
  <conditionalFormatting sqref="AA14 AG14 AM13 AS13 AY13 BE13">
    <cfRule type="cellIs" dxfId="51" priority="27" operator="lessThan">
      <formula>0</formula>
    </cfRule>
    <cfRule type="cellIs" dxfId="50" priority="28" operator="greaterThan">
      <formula>0</formula>
    </cfRule>
  </conditionalFormatting>
  <conditionalFormatting sqref="V4:V43">
    <cfRule type="containsText" dxfId="49" priority="24" operator="containsText" text="x">
      <formula>NOT(ISERROR(SEARCH("x",V4)))</formula>
    </cfRule>
  </conditionalFormatting>
  <conditionalFormatting sqref="AA15">
    <cfRule type="cellIs" dxfId="48" priority="21" operator="lessThan">
      <formula>0</formula>
    </cfRule>
    <cfRule type="cellIs" dxfId="47" priority="22" operator="greaterThan">
      <formula>0</formula>
    </cfRule>
  </conditionalFormatting>
  <conditionalFormatting sqref="AG15">
    <cfRule type="cellIs" dxfId="46" priority="17" operator="lessThan">
      <formula>0</formula>
    </cfRule>
    <cfRule type="cellIs" dxfId="45" priority="18" operator="greaterThan">
      <formula>0</formula>
    </cfRule>
  </conditionalFormatting>
  <conditionalFormatting sqref="AA29">
    <cfRule type="cellIs" dxfId="44" priority="11" operator="lessThan">
      <formula>0</formula>
    </cfRule>
    <cfRule type="cellIs" dxfId="43" priority="12" operator="greaterThan">
      <formula>0</formula>
    </cfRule>
  </conditionalFormatting>
  <conditionalFormatting sqref="AG29">
    <cfRule type="cellIs" dxfId="42" priority="8" operator="lessThan">
      <formula>0</formula>
    </cfRule>
    <cfRule type="cellIs" dxfId="41" priority="9" operator="greaterThan">
      <formula>0</formula>
    </cfRule>
  </conditionalFormatting>
  <conditionalFormatting sqref="AA43 AG43">
    <cfRule type="cellIs" dxfId="40" priority="5" operator="lessThan">
      <formula>0</formula>
    </cfRule>
    <cfRule type="cellIs" dxfId="39" priority="6" operator="greaterThan">
      <formula>0</formula>
    </cfRule>
  </conditionalFormatting>
  <conditionalFormatting sqref="P1">
    <cfRule type="cellIs" dxfId="38" priority="1" operator="greaterThan">
      <formula>0</formula>
    </cfRule>
  </conditionalFormatting>
  <dataValidations count="19">
    <dataValidation type="list" allowBlank="1" showInputMessage="1" showErrorMessage="1" sqref="D1 BC3:BC13 BC28:BC37 AK3:AK13 AQ3:AQ13 AW3:AW13 BC16:BC25 AK16:AK25 AQ16:AQ25 AW16:AW25 AW28:AW37 AK28:AK37 AQ28:AQ37" xr:uid="{00000000-0002-0000-0000-000000000000}">
      <formula1>ListaMaestros</formula1>
    </dataValidation>
    <dataValidation type="list" allowBlank="1" showInputMessage="1" showErrorMessage="1" sqref="D4:D43 E9:I9 L9:O9" xr:uid="{00000000-0002-0000-0000-000001000000}">
      <formula1>PrimeroA</formula1>
    </dataValidation>
    <dataValidation type="list" allowBlank="1" showInputMessage="1" showErrorMessage="1" sqref="E4:E8 E10:E43" xr:uid="{00000000-0002-0000-0000-000002000000}">
      <formula1>PrimeroB</formula1>
    </dataValidation>
    <dataValidation type="list" allowBlank="1" showInputMessage="1" showErrorMessage="1" sqref="J4:J43" xr:uid="{00000000-0002-0000-0000-000003000000}">
      <formula1>SegundoA</formula1>
    </dataValidation>
    <dataValidation type="list" allowBlank="1" showInputMessage="1" showErrorMessage="1" sqref="K4:K43" xr:uid="{00000000-0002-0000-0000-000004000000}">
      <formula1>SegundoB</formula1>
    </dataValidation>
    <dataValidation type="list" allowBlank="1" showInputMessage="1" showErrorMessage="1" sqref="P4:P43" xr:uid="{00000000-0002-0000-0000-000005000000}">
      <formula1>TerceroA</formula1>
    </dataValidation>
    <dataValidation type="list" allowBlank="1" showInputMessage="1" showErrorMessage="1" sqref="Q4:Q43" xr:uid="{00000000-0002-0000-0000-000006000000}">
      <formula1>TerceroB</formula1>
    </dataValidation>
    <dataValidation type="list" allowBlank="1" showInputMessage="1" showErrorMessage="1" sqref="L4:L8 L10:L43" xr:uid="{00000000-0002-0000-0000-000007000000}">
      <formula1>SegundoC</formula1>
    </dataValidation>
    <dataValidation type="list" allowBlank="1" showInputMessage="1" showErrorMessage="1" sqref="F4:F8 F10:F43" xr:uid="{00000000-0002-0000-0000-000008000000}">
      <formula1>PrimeroC</formula1>
    </dataValidation>
    <dataValidation type="list" allowBlank="1" showInputMessage="1" showErrorMessage="1" sqref="G4:G8 G10:G43" xr:uid="{00000000-0002-0000-0000-000009000000}">
      <formula1>PrimeroD</formula1>
    </dataValidation>
    <dataValidation type="list" allowBlank="1" showInputMessage="1" showErrorMessage="1" sqref="H4:H8 H10:H43" xr:uid="{00000000-0002-0000-0000-00000A000000}">
      <formula1>PrimeroE</formula1>
    </dataValidation>
    <dataValidation type="list" allowBlank="1" showInputMessage="1" showErrorMessage="1" sqref="I4:I8 I10:I43" xr:uid="{00000000-0002-0000-0000-00000B000000}">
      <formula1>PrimeroF</formula1>
    </dataValidation>
    <dataValidation type="list" allowBlank="1" showInputMessage="1" showErrorMessage="1" sqref="M4:M8 M10:M43" xr:uid="{00000000-0002-0000-0000-00000C000000}">
      <formula1>SegundoD</formula1>
    </dataValidation>
    <dataValidation type="list" allowBlank="1" showInputMessage="1" showErrorMessage="1" sqref="N4:N8 N10:N43" xr:uid="{00000000-0002-0000-0000-00000D000000}">
      <formula1>SegundoE</formula1>
    </dataValidation>
    <dataValidation type="list" allowBlank="1" showInputMessage="1" showErrorMessage="1" sqref="O4:O8 O10:O43" xr:uid="{00000000-0002-0000-0000-00000E000000}">
      <formula1>SegundoF</formula1>
    </dataValidation>
    <dataValidation type="list" allowBlank="1" showInputMessage="1" showErrorMessage="1" sqref="R4:R43" xr:uid="{00000000-0002-0000-0000-00000F000000}">
      <formula1>TerceroC</formula1>
    </dataValidation>
    <dataValidation type="list" allowBlank="1" showInputMessage="1" showErrorMessage="1" sqref="S4:S43" xr:uid="{00000000-0002-0000-0000-000010000000}">
      <formula1>TerceroD</formula1>
    </dataValidation>
    <dataValidation type="list" allowBlank="1" showInputMessage="1" showErrorMessage="1" sqref="T4:T43" xr:uid="{00000000-0002-0000-0000-000011000000}">
      <formula1>TerceroE</formula1>
    </dataValidation>
    <dataValidation type="list" allowBlank="1" showInputMessage="1" showErrorMessage="1" sqref="U4:U43" xr:uid="{00000000-0002-0000-0000-000012000000}">
      <formula1>TerceroF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" operator="containsText" id="{9D9C6676-A424-4DBF-9694-DF299B9E41F4}">
            <xm:f>NOT(ISERROR(SEARCH($D$1,D3)))</xm:f>
            <xm:f>$D$1</xm:f>
            <x14:dxf>
              <fill>
                <patternFill>
                  <bgColor theme="9"/>
                </patternFill>
              </fill>
            </x14:dxf>
          </x14:cfRule>
          <xm:sqref>D4:S43 W17:Y17 Y18:AB18 AB17 Y32:AB32 W31:Y31 AB31:AE31 AH14:AK14 AH26:AK26 AK15:AN15 AN14:AQ14 AK27:AN27 AN26:AQ26 AT14:AW14 AQ15:AT15 AQ27:AT27 AT26:AW26 AW15:AZ15 AZ14:BC14 AW27:AZ27 AZ26:BC26 BC15:BE15 BC27:BE27 W5:X13 AH15 AH27 AE32:AG32 AH28:BE37 AH16:BE25 W19:AG28 AH3:BE13 Z5:AD14 W4:AG4 AF5:AG14 W33:AG33 W34:AD42 AF34:AG42</xm:sqref>
        </x14:conditionalFormatting>
        <x14:conditionalFormatting xmlns:xm="http://schemas.microsoft.com/office/excel/2006/main">
          <x14:cfRule type="containsText" priority="26" operator="containsText" id="{F27005CE-9F95-4464-B9FE-4DDF787E4AD1}">
            <xm:f>NOT(ISERROR(SEARCH($D$1,W14)))</xm:f>
            <xm:f>$D$1</xm:f>
            <x14:dxf>
              <fill>
                <patternFill>
                  <bgColor theme="9"/>
                </patternFill>
              </fill>
            </x14:dxf>
          </x14:cfRule>
          <xm:sqref>W14:X14</xm:sqref>
        </x14:conditionalFormatting>
        <x14:conditionalFormatting xmlns:xm="http://schemas.microsoft.com/office/excel/2006/main">
          <x14:cfRule type="containsText" priority="25" operator="containsText" id="{24F33BEB-4566-47AC-B06A-81FF70A9282E}">
            <xm:f>NOT(ISERROR(SEARCH($D$1,Y6)))</xm:f>
            <xm:f>$D$1</xm:f>
            <x14:dxf>
              <fill>
                <patternFill>
                  <bgColor theme="9"/>
                </patternFill>
              </fill>
            </x14:dxf>
          </x14:cfRule>
          <xm:sqref>Y6:Y14</xm:sqref>
        </x14:conditionalFormatting>
        <x14:conditionalFormatting xmlns:xm="http://schemas.microsoft.com/office/excel/2006/main">
          <x14:cfRule type="containsText" priority="23" operator="containsText" id="{8597D9B1-EF6E-4D41-838B-255DB15926D6}">
            <xm:f>NOT(ISERROR(SEARCH($D$1,Y5)))</xm:f>
            <xm:f>$D$1</xm:f>
            <x14:dxf>
              <fill>
                <patternFill>
                  <bgColor theme="9"/>
                </patternFill>
              </fill>
            </x14:dxf>
          </x14:cfRule>
          <xm:sqref>Y5</xm:sqref>
        </x14:conditionalFormatting>
        <x14:conditionalFormatting xmlns:xm="http://schemas.microsoft.com/office/excel/2006/main">
          <x14:cfRule type="containsText" priority="20" operator="containsText" id="{7883AE58-EFBC-5A48-9C89-E64231E6ABE9}">
            <xm:f>NOT(ISERROR(SEARCH($D$1,W15)))</xm:f>
            <xm:f>$D$1</xm:f>
            <x14:dxf>
              <fill>
                <patternFill>
                  <bgColor theme="9"/>
                </patternFill>
              </fill>
            </x14:dxf>
          </x14:cfRule>
          <xm:sqref>W15:X15 Z15:AA15</xm:sqref>
        </x14:conditionalFormatting>
        <x14:conditionalFormatting xmlns:xm="http://schemas.microsoft.com/office/excel/2006/main">
          <x14:cfRule type="containsText" priority="19" operator="containsText" id="{C57286B5-7040-C04C-A2B8-F8BC8EC74228}">
            <xm:f>NOT(ISERROR(SEARCH($D$1,Y15)))</xm:f>
            <xm:f>$D$1</xm:f>
            <x14:dxf>
              <fill>
                <patternFill>
                  <bgColor theme="9"/>
                </patternFill>
              </fill>
            </x14:dxf>
          </x14:cfRule>
          <xm:sqref>Y15</xm:sqref>
        </x14:conditionalFormatting>
        <x14:conditionalFormatting xmlns:xm="http://schemas.microsoft.com/office/excel/2006/main">
          <x14:cfRule type="containsText" priority="16" operator="containsText" id="{39DAF319-F0A3-0B45-B5CC-E33777A2A8E7}">
            <xm:f>NOT(ISERROR(SEARCH($D$1,AC15)))</xm:f>
            <xm:f>$D$1</xm:f>
            <x14:dxf>
              <fill>
                <patternFill>
                  <bgColor theme="9"/>
                </patternFill>
              </fill>
            </x14:dxf>
          </x14:cfRule>
          <xm:sqref>AC15:AD15 AF15:AG15</xm:sqref>
        </x14:conditionalFormatting>
        <x14:conditionalFormatting xmlns:xm="http://schemas.microsoft.com/office/excel/2006/main">
          <x14:cfRule type="containsText" priority="15" operator="containsText" id="{C33821AA-8040-CE48-A158-09FC7166B6FB}">
            <xm:f>NOT(ISERROR(SEARCH($D$1,Y3)))</xm:f>
            <xm:f>$D$1</xm:f>
            <x14:dxf>
              <fill>
                <patternFill>
                  <bgColor theme="9"/>
                </patternFill>
              </fill>
            </x14:dxf>
          </x14:cfRule>
          <xm:sqref>Y3:AA3</xm:sqref>
        </x14:conditionalFormatting>
        <x14:conditionalFormatting xmlns:xm="http://schemas.microsoft.com/office/excel/2006/main">
          <x14:cfRule type="containsText" priority="14" operator="containsText" id="{3CD6B14E-4BC6-9C42-9F7D-1D1043E77796}">
            <xm:f>NOT(ISERROR(SEARCH($D$1,AE3)))</xm:f>
            <xm:f>$D$1</xm:f>
            <x14:dxf>
              <fill>
                <patternFill>
                  <bgColor theme="9"/>
                </patternFill>
              </fill>
            </x14:dxf>
          </x14:cfRule>
          <xm:sqref>AE3:AG3</xm:sqref>
        </x14:conditionalFormatting>
        <x14:conditionalFormatting xmlns:xm="http://schemas.microsoft.com/office/excel/2006/main">
          <x14:cfRule type="containsText" priority="13" operator="containsText" id="{0D32A833-3768-2449-9089-0FE0B9817B60}">
            <xm:f>NOT(ISERROR(SEARCH($D$1,AC17)))</xm:f>
            <xm:f>$D$1</xm:f>
            <x14:dxf>
              <fill>
                <patternFill>
                  <bgColor theme="9"/>
                </patternFill>
              </fill>
            </x14:dxf>
          </x14:cfRule>
          <xm:sqref>AC17:AE17 AE18:AG18</xm:sqref>
        </x14:conditionalFormatting>
        <x14:conditionalFormatting xmlns:xm="http://schemas.microsoft.com/office/excel/2006/main">
          <x14:cfRule type="containsText" priority="10" operator="containsText" id="{B47862C5-778B-C843-8242-D4A05AC82BBA}">
            <xm:f>NOT(ISERROR(SEARCH($D$1,W29)))</xm:f>
            <xm:f>$D$1</xm:f>
            <x14:dxf>
              <fill>
                <patternFill>
                  <bgColor theme="9"/>
                </patternFill>
              </fill>
            </x14:dxf>
          </x14:cfRule>
          <xm:sqref>W29:AA29</xm:sqref>
        </x14:conditionalFormatting>
        <x14:conditionalFormatting xmlns:xm="http://schemas.microsoft.com/office/excel/2006/main">
          <x14:cfRule type="containsText" priority="7" operator="containsText" id="{9D6AB372-1112-C340-AB59-1E82809FFE0C}">
            <xm:f>NOT(ISERROR(SEARCH($D$1,AC29)))</xm:f>
            <xm:f>$D$1</xm:f>
            <x14:dxf>
              <fill>
                <patternFill>
                  <bgColor theme="9"/>
                </patternFill>
              </fill>
            </x14:dxf>
          </x14:cfRule>
          <xm:sqref>AC29:AG29</xm:sqref>
        </x14:conditionalFormatting>
        <x14:conditionalFormatting xmlns:xm="http://schemas.microsoft.com/office/excel/2006/main">
          <x14:cfRule type="containsText" priority="4" operator="containsText" id="{DA544F64-07A4-6244-927F-E1BC120387B1}">
            <xm:f>NOT(ISERROR(SEARCH($D$1,W43)))</xm:f>
            <xm:f>$D$1</xm:f>
            <x14:dxf>
              <fill>
                <patternFill>
                  <bgColor theme="9"/>
                </patternFill>
              </fill>
            </x14:dxf>
          </x14:cfRule>
          <xm:sqref>W43:AD43 AF43:AG43</xm:sqref>
        </x14:conditionalFormatting>
        <x14:conditionalFormatting xmlns:xm="http://schemas.microsoft.com/office/excel/2006/main">
          <x14:cfRule type="containsText" priority="3" operator="containsText" id="{219C4B76-390D-1645-AE2C-0B77DE346474}">
            <xm:f>NOT(ISERROR(SEARCH($D$1,AE5)))</xm:f>
            <xm:f>$D$1</xm:f>
            <x14:dxf>
              <fill>
                <patternFill>
                  <bgColor theme="9"/>
                </patternFill>
              </fill>
            </x14:dxf>
          </x14:cfRule>
          <xm:sqref>AE5:AE15</xm:sqref>
        </x14:conditionalFormatting>
        <x14:conditionalFormatting xmlns:xm="http://schemas.microsoft.com/office/excel/2006/main">
          <x14:cfRule type="containsText" priority="2" operator="containsText" id="{FD430F42-14A9-9C44-935B-0A0B91A3421E}">
            <xm:f>NOT(ISERROR(SEARCH($D$1,AE34)))</xm:f>
            <xm:f>$D$1</xm:f>
            <x14:dxf>
              <fill>
                <patternFill>
                  <bgColor theme="9"/>
                </patternFill>
              </fill>
            </x14:dxf>
          </x14:cfRule>
          <xm:sqref>AE34:AE43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S39"/>
  <sheetViews>
    <sheetView showGridLines="0" zoomScale="73" zoomScaleNormal="73" zoomScalePageLayoutView="73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18" sqref="J18"/>
    </sheetView>
  </sheetViews>
  <sheetFormatPr baseColWidth="10" defaultRowHeight="15" x14ac:dyDescent="0.2"/>
  <cols>
    <col min="1" max="2" width="3.6640625" customWidth="1"/>
    <col min="3" max="3" width="15.6640625" customWidth="1"/>
    <col min="4" max="9" width="18.6640625" customWidth="1"/>
    <col min="10" max="10" width="11.83203125" bestFit="1" customWidth="1"/>
    <col min="11" max="11" width="8.6640625" bestFit="1" customWidth="1"/>
    <col min="12" max="12" width="7.5" customWidth="1"/>
    <col min="13" max="13" width="15.6640625" customWidth="1"/>
    <col min="14" max="14" width="21.6640625" hidden="1" customWidth="1"/>
    <col min="15" max="15" width="9.83203125" bestFit="1" customWidth="1"/>
    <col min="16" max="16" width="1.6640625" customWidth="1"/>
    <col min="17" max="17" width="15.6640625" customWidth="1"/>
    <col min="18" max="18" width="21.6640625" hidden="1" customWidth="1"/>
    <col min="19" max="19" width="11.83203125" bestFit="1" customWidth="1"/>
  </cols>
  <sheetData>
    <row r="1" spans="1:19" ht="21" thickTop="1" thickBot="1" x14ac:dyDescent="0.25">
      <c r="A1" s="27"/>
      <c r="D1" s="34" t="s">
        <v>97</v>
      </c>
      <c r="E1" s="60" t="s">
        <v>129</v>
      </c>
      <c r="F1" s="34"/>
      <c r="G1" s="35"/>
      <c r="H1" s="34"/>
      <c r="I1" s="35"/>
      <c r="J1" s="397" t="s">
        <v>62</v>
      </c>
      <c r="K1" s="399" t="s">
        <v>15</v>
      </c>
      <c r="L1" s="401" t="s">
        <v>111</v>
      </c>
      <c r="M1" s="403" t="s">
        <v>121</v>
      </c>
      <c r="N1" s="404"/>
      <c r="O1" s="405"/>
      <c r="P1" s="24"/>
      <c r="Q1" s="406" t="s">
        <v>122</v>
      </c>
      <c r="R1" s="407"/>
      <c r="S1" s="408"/>
    </row>
    <row r="2" spans="1:19" ht="17" hidden="1" thickBot="1" x14ac:dyDescent="0.25">
      <c r="D2" s="36"/>
      <c r="E2" s="38"/>
      <c r="F2" s="39"/>
      <c r="G2" s="37"/>
      <c r="H2" s="37"/>
      <c r="I2" s="37"/>
      <c r="J2" s="398"/>
      <c r="K2" s="400"/>
      <c r="L2" s="402"/>
      <c r="M2" s="17" t="s">
        <v>60</v>
      </c>
      <c r="N2" s="18" t="s">
        <v>65</v>
      </c>
      <c r="O2" s="21" t="s">
        <v>66</v>
      </c>
      <c r="P2" s="24"/>
      <c r="Q2" s="17" t="s">
        <v>60</v>
      </c>
      <c r="R2" s="18" t="s">
        <v>65</v>
      </c>
      <c r="S2" s="21" t="s">
        <v>66</v>
      </c>
    </row>
    <row r="3" spans="1:19" ht="17" thickTop="1" thickBot="1" x14ac:dyDescent="0.25">
      <c r="C3" s="2" t="s">
        <v>218</v>
      </c>
      <c r="D3" s="10" t="s">
        <v>115</v>
      </c>
      <c r="E3" s="9" t="s">
        <v>116</v>
      </c>
      <c r="F3" s="9" t="s">
        <v>117</v>
      </c>
      <c r="G3" s="9" t="s">
        <v>119</v>
      </c>
      <c r="H3" s="9" t="s">
        <v>118</v>
      </c>
      <c r="I3" s="28" t="s">
        <v>120</v>
      </c>
      <c r="J3" s="32"/>
      <c r="K3" s="25" t="str">
        <f>'Carga horaria'!A3</f>
        <v>Español I</v>
      </c>
      <c r="L3" s="15">
        <f>'Carga horaria'!B3</f>
        <v>5</v>
      </c>
      <c r="M3" s="22" t="s">
        <v>103</v>
      </c>
      <c r="N3" s="19" t="str">
        <f>CONCATENATE(K3," - ", M3)</f>
        <v>Español I - Sonia</v>
      </c>
      <c r="O3" s="40" t="e">
        <f t="shared" ref="O3:O12" si="0">L3-COUNTIF(hpG,N3)</f>
        <v>#NAME?</v>
      </c>
      <c r="P3" s="24"/>
      <c r="Q3" s="22" t="s">
        <v>106</v>
      </c>
      <c r="R3" s="19" t="str">
        <f>CONCATENATE(K3," - ",Q3)</f>
        <v>Español I - Emmanuel</v>
      </c>
      <c r="S3" s="40" t="e">
        <f t="shared" ref="S3:S12" si="1">L3-COUNTIF(hpH,R3)</f>
        <v>#NAME?</v>
      </c>
    </row>
    <row r="4" spans="1:19" ht="17" thickTop="1" thickBot="1" x14ac:dyDescent="0.25">
      <c r="A4" s="409" t="s">
        <v>52</v>
      </c>
      <c r="B4" s="11" t="s">
        <v>0</v>
      </c>
      <c r="C4" s="77" t="s">
        <v>219</v>
      </c>
      <c r="D4" s="41" t="s">
        <v>172</v>
      </c>
      <c r="E4" s="80" t="s">
        <v>151</v>
      </c>
      <c r="F4" s="42" t="s">
        <v>113</v>
      </c>
      <c r="G4" s="42" t="s">
        <v>167</v>
      </c>
      <c r="H4" s="42" t="s">
        <v>177</v>
      </c>
      <c r="I4" s="43" t="s">
        <v>153</v>
      </c>
      <c r="J4" s="63" t="e">
        <f>IF(eColision(D4:I4)&gt;1,"X","")</f>
        <v>#VALUE!</v>
      </c>
      <c r="K4" s="25" t="str">
        <f>'Carga horaria'!A4</f>
        <v>Matemáticas I</v>
      </c>
      <c r="L4" s="15">
        <f>'Carga horaria'!B4</f>
        <v>5</v>
      </c>
      <c r="M4" s="22" t="s">
        <v>99</v>
      </c>
      <c r="N4" s="19" t="str">
        <f t="shared" ref="N4:N12" si="2">CONCATENATE(K4," - ", M4)</f>
        <v>Matemáticas I - Jesús</v>
      </c>
      <c r="O4" s="40" t="e">
        <f t="shared" si="0"/>
        <v>#NAME?</v>
      </c>
      <c r="P4" s="24"/>
      <c r="Q4" s="22" t="s">
        <v>100</v>
      </c>
      <c r="R4" s="19" t="str">
        <f t="shared" ref="R4:R12" si="3">CONCATENATE(K4," - ",Q4)</f>
        <v>Matemáticas I - Edith</v>
      </c>
      <c r="S4" s="40" t="e">
        <f t="shared" si="1"/>
        <v>#NAME?</v>
      </c>
    </row>
    <row r="5" spans="1:19" ht="17" thickTop="1" thickBot="1" x14ac:dyDescent="0.25">
      <c r="A5" s="409"/>
      <c r="B5" s="12" t="s">
        <v>1</v>
      </c>
      <c r="C5" s="78" t="s">
        <v>220</v>
      </c>
      <c r="D5" s="41" t="s">
        <v>172</v>
      </c>
      <c r="E5" s="42" t="s">
        <v>237</v>
      </c>
      <c r="F5" s="42" t="s">
        <v>234</v>
      </c>
      <c r="G5" s="42" t="s">
        <v>238</v>
      </c>
      <c r="H5" s="42" t="s">
        <v>155</v>
      </c>
      <c r="I5" s="43" t="s">
        <v>178</v>
      </c>
      <c r="J5" s="62" t="e">
        <f t="shared" ref="J5:J38" si="4">IF(eColision(D5:I5)&gt;1,"X","")</f>
        <v>#VALUE!</v>
      </c>
      <c r="K5" s="25" t="str">
        <f>'Carga horaria'!A5</f>
        <v>Ciencias I</v>
      </c>
      <c r="L5" s="15">
        <f>'Carga horaria'!B5</f>
        <v>4</v>
      </c>
      <c r="M5" s="22" t="s">
        <v>108</v>
      </c>
      <c r="N5" s="19" t="str">
        <f t="shared" si="2"/>
        <v>Ciencias I - Juan Francisco</v>
      </c>
      <c r="O5" s="40" t="e">
        <f t="shared" si="0"/>
        <v>#NAME?</v>
      </c>
      <c r="P5" s="24"/>
      <c r="Q5" s="22" t="s">
        <v>101</v>
      </c>
      <c r="R5" s="19" t="str">
        <f t="shared" si="3"/>
        <v>Ciencias I - Antonio</v>
      </c>
      <c r="S5" s="40" t="e">
        <f t="shared" si="1"/>
        <v>#NAME?</v>
      </c>
    </row>
    <row r="6" spans="1:19" ht="17" thickTop="1" thickBot="1" x14ac:dyDescent="0.25">
      <c r="A6" s="409"/>
      <c r="B6" s="12" t="s">
        <v>2</v>
      </c>
      <c r="C6" s="78" t="s">
        <v>221</v>
      </c>
      <c r="D6" s="41" t="s">
        <v>170</v>
      </c>
      <c r="E6" s="42" t="s">
        <v>232</v>
      </c>
      <c r="F6" s="42" t="s">
        <v>233</v>
      </c>
      <c r="G6" s="42" t="s">
        <v>238</v>
      </c>
      <c r="H6" s="42" t="s">
        <v>187</v>
      </c>
      <c r="I6" s="43" t="s">
        <v>164</v>
      </c>
      <c r="J6" s="29" t="e">
        <f t="shared" si="4"/>
        <v>#VALUE!</v>
      </c>
      <c r="K6" s="25" t="str">
        <f>'Carga horaria'!A6</f>
        <v>Historia I</v>
      </c>
      <c r="L6" s="15">
        <f>'Carga horaria'!B6</f>
        <v>2</v>
      </c>
      <c r="M6" s="22" t="s">
        <v>104</v>
      </c>
      <c r="N6" s="19" t="str">
        <f t="shared" si="2"/>
        <v>Historia I - Gerardo</v>
      </c>
      <c r="O6" s="40" t="e">
        <f t="shared" si="0"/>
        <v>#NAME?</v>
      </c>
      <c r="P6" s="24"/>
      <c r="Q6" s="22" t="s">
        <v>103</v>
      </c>
      <c r="R6" s="19" t="str">
        <f t="shared" si="3"/>
        <v>Historia I - Sonia</v>
      </c>
      <c r="S6" s="40" t="e">
        <f t="shared" si="1"/>
        <v>#NAME?</v>
      </c>
    </row>
    <row r="7" spans="1:19" ht="17" thickTop="1" thickBot="1" x14ac:dyDescent="0.25">
      <c r="A7" s="409"/>
      <c r="B7" s="12" t="s">
        <v>3</v>
      </c>
      <c r="C7" s="78" t="s">
        <v>222</v>
      </c>
      <c r="D7" s="41" t="s">
        <v>166</v>
      </c>
      <c r="E7" s="42" t="s">
        <v>181</v>
      </c>
      <c r="F7" s="42" t="s">
        <v>160</v>
      </c>
      <c r="G7" s="42" t="s">
        <v>113</v>
      </c>
      <c r="H7" s="42" t="s">
        <v>171</v>
      </c>
      <c r="I7" s="43" t="s">
        <v>163</v>
      </c>
      <c r="J7" s="29" t="e">
        <f t="shared" si="4"/>
        <v>#VALUE!</v>
      </c>
      <c r="K7" s="25" t="str">
        <f>'Carga horaria'!A7</f>
        <v>F.C.E. I</v>
      </c>
      <c r="L7" s="15">
        <f>'Carga horaria'!B7</f>
        <v>2</v>
      </c>
      <c r="M7" s="22" t="s">
        <v>102</v>
      </c>
      <c r="N7" s="19" t="str">
        <f t="shared" si="2"/>
        <v>F.C.E. I - José Nieves</v>
      </c>
      <c r="O7" s="40" t="e">
        <f t="shared" si="0"/>
        <v>#NAME?</v>
      </c>
      <c r="P7" s="24"/>
      <c r="Q7" s="22" t="s">
        <v>102</v>
      </c>
      <c r="R7" s="19" t="str">
        <f t="shared" si="3"/>
        <v>F.C.E. I - José Nieves</v>
      </c>
      <c r="S7" s="40" t="e">
        <f t="shared" si="1"/>
        <v>#NAME?</v>
      </c>
    </row>
    <row r="8" spans="1:19" ht="17" thickTop="1" thickBot="1" x14ac:dyDescent="0.25">
      <c r="A8" s="409"/>
      <c r="B8" s="12" t="s">
        <v>4</v>
      </c>
      <c r="C8" s="78" t="s">
        <v>223</v>
      </c>
      <c r="D8" s="41" t="s">
        <v>213</v>
      </c>
      <c r="E8" s="42" t="s">
        <v>176</v>
      </c>
      <c r="F8" s="42" t="s">
        <v>156</v>
      </c>
      <c r="G8" s="42" t="s">
        <v>160</v>
      </c>
      <c r="H8" s="42" t="s">
        <v>153</v>
      </c>
      <c r="I8" s="43" t="s">
        <v>174</v>
      </c>
      <c r="J8" s="29" t="e">
        <f t="shared" si="4"/>
        <v>#VALUE!</v>
      </c>
      <c r="K8" s="25" t="str">
        <f>'Carga horaria'!A8</f>
        <v>Geografía</v>
      </c>
      <c r="L8" s="15">
        <f>'Carga horaria'!B8</f>
        <v>4</v>
      </c>
      <c r="M8" s="22" t="s">
        <v>214</v>
      </c>
      <c r="N8" s="19" t="str">
        <f t="shared" si="2"/>
        <v>Geografía -  Jesús Alberto</v>
      </c>
      <c r="O8" s="40" t="e">
        <f t="shared" si="0"/>
        <v>#NAME?</v>
      </c>
      <c r="P8" s="24"/>
      <c r="Q8" s="22" t="s">
        <v>214</v>
      </c>
      <c r="R8" s="19" t="str">
        <f t="shared" si="3"/>
        <v>Geografía -  Jesús Alberto</v>
      </c>
      <c r="S8" s="40" t="e">
        <f t="shared" si="1"/>
        <v>#NAME?</v>
      </c>
    </row>
    <row r="9" spans="1:19" ht="17" thickTop="1" thickBot="1" x14ac:dyDescent="0.25">
      <c r="A9" s="409"/>
      <c r="B9" s="12" t="s">
        <v>5</v>
      </c>
      <c r="C9" s="78" t="s">
        <v>224</v>
      </c>
      <c r="D9" s="41" t="s">
        <v>154</v>
      </c>
      <c r="E9" s="42" t="s">
        <v>217</v>
      </c>
      <c r="F9" s="42" t="s">
        <v>169</v>
      </c>
      <c r="G9" s="42" t="s">
        <v>235</v>
      </c>
      <c r="H9" s="42" t="s">
        <v>173</v>
      </c>
      <c r="I9" s="43" t="s">
        <v>152</v>
      </c>
      <c r="J9" s="29" t="e">
        <f t="shared" si="4"/>
        <v>#VALUE!</v>
      </c>
      <c r="K9" s="25" t="str">
        <f>'Carga horaria'!A9</f>
        <v>Inglés I</v>
      </c>
      <c r="L9" s="15">
        <f>'Carga horaria'!B9</f>
        <v>3</v>
      </c>
      <c r="M9" s="22" t="s">
        <v>101</v>
      </c>
      <c r="N9" s="19" t="str">
        <f t="shared" si="2"/>
        <v>Inglés I - Antonio</v>
      </c>
      <c r="O9" s="40" t="e">
        <f t="shared" si="0"/>
        <v>#NAME?</v>
      </c>
      <c r="P9" s="24"/>
      <c r="Q9" s="22" t="s">
        <v>127</v>
      </c>
      <c r="R9" s="19" t="str">
        <f t="shared" si="3"/>
        <v>Inglés I - José Adán</v>
      </c>
      <c r="S9" s="40" t="e">
        <f t="shared" si="1"/>
        <v>#NAME?</v>
      </c>
    </row>
    <row r="10" spans="1:19" ht="17" thickTop="1" thickBot="1" x14ac:dyDescent="0.25">
      <c r="A10" s="409"/>
      <c r="B10" s="13" t="s">
        <v>6</v>
      </c>
      <c r="C10" s="79" t="s">
        <v>225</v>
      </c>
      <c r="D10" s="44" t="s">
        <v>154</v>
      </c>
      <c r="E10" s="45" t="s">
        <v>185</v>
      </c>
      <c r="F10" s="45" t="s">
        <v>169</v>
      </c>
      <c r="G10" s="45" t="s">
        <v>235</v>
      </c>
      <c r="H10" s="45" t="s">
        <v>173</v>
      </c>
      <c r="I10" s="46" t="s">
        <v>182</v>
      </c>
      <c r="J10" s="30" t="e">
        <f t="shared" si="4"/>
        <v>#VALUE!</v>
      </c>
      <c r="K10" s="25" t="str">
        <f>'Carga horaria'!A10</f>
        <v>Educ. Física I</v>
      </c>
      <c r="L10" s="15">
        <f>'Carga horaria'!B10</f>
        <v>2</v>
      </c>
      <c r="M10" s="22" t="s">
        <v>98</v>
      </c>
      <c r="N10" s="19" t="str">
        <f t="shared" si="2"/>
        <v>Educ. Física I - Miriam</v>
      </c>
      <c r="O10" s="40" t="e">
        <f t="shared" si="0"/>
        <v>#NAME?</v>
      </c>
      <c r="P10" s="24"/>
      <c r="Q10" s="22" t="s">
        <v>103</v>
      </c>
      <c r="R10" s="19" t="str">
        <f t="shared" si="3"/>
        <v>Educ. Física I - Sonia</v>
      </c>
      <c r="S10" s="40" t="e">
        <f t="shared" si="1"/>
        <v>#NAME?</v>
      </c>
    </row>
    <row r="11" spans="1:19" ht="17" thickTop="1" thickBot="1" x14ac:dyDescent="0.25">
      <c r="A11" s="409" t="s">
        <v>53</v>
      </c>
      <c r="B11" s="11" t="s">
        <v>0</v>
      </c>
      <c r="C11" s="77" t="s">
        <v>219</v>
      </c>
      <c r="D11" s="47" t="s">
        <v>112</v>
      </c>
      <c r="E11" s="48" t="s">
        <v>232</v>
      </c>
      <c r="F11" s="48" t="s">
        <v>212</v>
      </c>
      <c r="G11" s="48" t="s">
        <v>167</v>
      </c>
      <c r="H11" s="48" t="s">
        <v>216</v>
      </c>
      <c r="I11" s="49" t="s">
        <v>186</v>
      </c>
      <c r="J11" s="31" t="e">
        <f t="shared" si="4"/>
        <v>#VALUE!</v>
      </c>
      <c r="K11" s="25" t="str">
        <f>'Carga horaria'!A11</f>
        <v>Artes I</v>
      </c>
      <c r="L11" s="15">
        <f>'Carga horaria'!B11</f>
        <v>3</v>
      </c>
      <c r="M11" s="22" t="s">
        <v>103</v>
      </c>
      <c r="N11" s="19" t="str">
        <f t="shared" si="2"/>
        <v>Artes I - Sonia</v>
      </c>
      <c r="O11" s="40" t="e">
        <f t="shared" si="0"/>
        <v>#NAME?</v>
      </c>
      <c r="P11" s="24"/>
      <c r="Q11" s="22" t="s">
        <v>109</v>
      </c>
      <c r="R11" s="19" t="str">
        <f t="shared" si="3"/>
        <v>Artes I - María</v>
      </c>
      <c r="S11" s="40" t="e">
        <f t="shared" si="1"/>
        <v>#NAME?</v>
      </c>
    </row>
    <row r="12" spans="1:19" ht="17" thickTop="1" thickBot="1" x14ac:dyDescent="0.25">
      <c r="A12" s="409"/>
      <c r="B12" s="12" t="s">
        <v>1</v>
      </c>
      <c r="C12" s="78" t="s">
        <v>220</v>
      </c>
      <c r="D12" s="41" t="s">
        <v>166</v>
      </c>
      <c r="E12" s="42" t="s">
        <v>159</v>
      </c>
      <c r="F12" s="42" t="s">
        <v>162</v>
      </c>
      <c r="G12" s="42" t="s">
        <v>235</v>
      </c>
      <c r="H12" s="42" t="s">
        <v>114</v>
      </c>
      <c r="I12" s="43" t="s">
        <v>164</v>
      </c>
      <c r="J12" s="29" t="e">
        <f t="shared" si="4"/>
        <v>#VALUE!</v>
      </c>
      <c r="K12" s="26" t="str">
        <f>'Carga horaria'!A12</f>
        <v>Tutoría</v>
      </c>
      <c r="L12" s="16">
        <f>'Carga horaria'!B12</f>
        <v>1</v>
      </c>
      <c r="M12" s="23" t="s">
        <v>127</v>
      </c>
      <c r="N12" s="20" t="str">
        <f t="shared" si="2"/>
        <v>Tutoría - José Adán</v>
      </c>
      <c r="O12" s="40" t="e">
        <f t="shared" si="0"/>
        <v>#NAME?</v>
      </c>
      <c r="P12" s="24"/>
      <c r="Q12" s="23" t="s">
        <v>107</v>
      </c>
      <c r="R12" s="20" t="str">
        <f t="shared" si="3"/>
        <v xml:space="preserve">Tutoría - Moises </v>
      </c>
      <c r="S12" s="40" t="e">
        <f t="shared" si="1"/>
        <v>#NAME?</v>
      </c>
    </row>
    <row r="13" spans="1:19" ht="16.5" customHeight="1" thickTop="1" thickBot="1" x14ac:dyDescent="0.25">
      <c r="A13" s="409"/>
      <c r="B13" s="12" t="s">
        <v>2</v>
      </c>
      <c r="C13" s="78" t="s">
        <v>221</v>
      </c>
      <c r="D13" s="50" t="s">
        <v>172</v>
      </c>
      <c r="E13" s="42" t="s">
        <v>176</v>
      </c>
      <c r="F13" s="42" t="s">
        <v>169</v>
      </c>
      <c r="G13" s="42" t="s">
        <v>160</v>
      </c>
      <c r="H13" s="42" t="s">
        <v>165</v>
      </c>
      <c r="I13" s="43" t="s">
        <v>174</v>
      </c>
      <c r="J13" s="29" t="e">
        <f t="shared" si="4"/>
        <v>#VALUE!</v>
      </c>
      <c r="K13" s="399" t="s">
        <v>15</v>
      </c>
      <c r="L13" s="401" t="s">
        <v>111</v>
      </c>
      <c r="M13" s="403" t="s">
        <v>123</v>
      </c>
      <c r="N13" s="404"/>
      <c r="O13" s="405"/>
      <c r="P13" s="24"/>
      <c r="Q13" s="406" t="s">
        <v>124</v>
      </c>
      <c r="R13" s="407"/>
      <c r="S13" s="408"/>
    </row>
    <row r="14" spans="1:19" ht="18" thickTop="1" thickBot="1" x14ac:dyDescent="0.25">
      <c r="A14" s="409"/>
      <c r="B14" s="12" t="s">
        <v>3</v>
      </c>
      <c r="C14" s="78" t="s">
        <v>222</v>
      </c>
      <c r="D14" s="50" t="s">
        <v>175</v>
      </c>
      <c r="E14" s="42" t="s">
        <v>237</v>
      </c>
      <c r="F14" s="42" t="s">
        <v>233</v>
      </c>
      <c r="G14" s="42" t="s">
        <v>215</v>
      </c>
      <c r="H14" s="42" t="s">
        <v>173</v>
      </c>
      <c r="I14" s="43" t="s">
        <v>178</v>
      </c>
      <c r="J14" s="29" t="e">
        <f t="shared" si="4"/>
        <v>#VALUE!</v>
      </c>
      <c r="K14" s="400"/>
      <c r="L14" s="402"/>
      <c r="M14" s="17" t="s">
        <v>60</v>
      </c>
      <c r="N14" s="18" t="s">
        <v>65</v>
      </c>
      <c r="O14" s="21" t="s">
        <v>66</v>
      </c>
      <c r="P14" s="24"/>
      <c r="Q14" s="17" t="s">
        <v>60</v>
      </c>
      <c r="R14" s="18" t="s">
        <v>65</v>
      </c>
      <c r="S14" s="21" t="s">
        <v>66</v>
      </c>
    </row>
    <row r="15" spans="1:19" ht="17" thickTop="1" thickBot="1" x14ac:dyDescent="0.25">
      <c r="A15" s="409"/>
      <c r="B15" s="12" t="s">
        <v>4</v>
      </c>
      <c r="C15" s="78" t="s">
        <v>223</v>
      </c>
      <c r="D15" s="50" t="s">
        <v>159</v>
      </c>
      <c r="E15" s="42" t="s">
        <v>151</v>
      </c>
      <c r="F15" s="42" t="s">
        <v>233</v>
      </c>
      <c r="G15" s="42" t="s">
        <v>238</v>
      </c>
      <c r="H15" s="42" t="s">
        <v>179</v>
      </c>
      <c r="I15" s="43" t="s">
        <v>153</v>
      </c>
      <c r="J15" s="29" t="e">
        <f t="shared" si="4"/>
        <v>#VALUE!</v>
      </c>
      <c r="K15" s="25" t="str">
        <f>'Carga horaria'!D3</f>
        <v>Español II</v>
      </c>
      <c r="L15" s="25">
        <f>'Carga horaria'!E3</f>
        <v>5</v>
      </c>
      <c r="M15" s="22" t="s">
        <v>106</v>
      </c>
      <c r="N15" s="19" t="str">
        <f>CONCATENATE(K15," - ", M15)</f>
        <v>Español II - Emmanuel</v>
      </c>
      <c r="O15" s="40">
        <f t="shared" ref="O15:O24" si="5">L15-COUNTIF(hsC,N15)</f>
        <v>5</v>
      </c>
      <c r="P15" s="24"/>
      <c r="Q15" s="22" t="s">
        <v>103</v>
      </c>
      <c r="R15" s="19" t="str">
        <f>CONCATENATE(K15," - ",Q15)</f>
        <v>Español II - Sonia</v>
      </c>
      <c r="S15" s="40" t="e">
        <f t="shared" ref="S15:S24" si="6">L15-COUNTIF(hsH,R15)</f>
        <v>#NAME?</v>
      </c>
    </row>
    <row r="16" spans="1:19" ht="17" thickTop="1" thickBot="1" x14ac:dyDescent="0.25">
      <c r="A16" s="409"/>
      <c r="B16" s="12" t="s">
        <v>5</v>
      </c>
      <c r="C16" s="78" t="s">
        <v>224</v>
      </c>
      <c r="D16" s="50" t="s">
        <v>161</v>
      </c>
      <c r="E16" s="42" t="s">
        <v>217</v>
      </c>
      <c r="F16" s="42" t="s">
        <v>180</v>
      </c>
      <c r="G16" s="42" t="s">
        <v>184</v>
      </c>
      <c r="H16" s="42" t="s">
        <v>153</v>
      </c>
      <c r="I16" s="43" t="s">
        <v>158</v>
      </c>
      <c r="J16" s="29" t="e">
        <f t="shared" si="4"/>
        <v>#VALUE!</v>
      </c>
      <c r="K16" s="25" t="str">
        <f>'Carga horaria'!D4</f>
        <v>Matemáticas II</v>
      </c>
      <c r="L16" s="25">
        <f>'Carga horaria'!E4</f>
        <v>5</v>
      </c>
      <c r="M16" s="22" t="s">
        <v>107</v>
      </c>
      <c r="N16" s="19" t="str">
        <f t="shared" ref="N16:N24" si="7">CONCATENATE(K16," - ", M16)</f>
        <v xml:space="preserve">Matemáticas II - Moises </v>
      </c>
      <c r="O16" s="40">
        <f t="shared" si="5"/>
        <v>5</v>
      </c>
      <c r="P16" s="24"/>
      <c r="Q16" s="22" t="s">
        <v>127</v>
      </c>
      <c r="R16" s="19" t="str">
        <f t="shared" ref="R16:R24" si="8">CONCATENATE(K16," - ",Q16)</f>
        <v>Matemáticas II - José Adán</v>
      </c>
      <c r="S16" s="40" t="e">
        <f t="shared" si="6"/>
        <v>#NAME?</v>
      </c>
    </row>
    <row r="17" spans="1:19" ht="17" thickTop="1" thickBot="1" x14ac:dyDescent="0.25">
      <c r="A17" s="409"/>
      <c r="B17" s="13" t="s">
        <v>6</v>
      </c>
      <c r="C17" s="79" t="s">
        <v>225</v>
      </c>
      <c r="D17" s="51" t="s">
        <v>154</v>
      </c>
      <c r="E17" s="45" t="s">
        <v>176</v>
      </c>
      <c r="F17" s="45" t="s">
        <v>188</v>
      </c>
      <c r="G17" s="45" t="s">
        <v>162</v>
      </c>
      <c r="H17" s="45" t="s">
        <v>153</v>
      </c>
      <c r="I17" s="46" t="s">
        <v>158</v>
      </c>
      <c r="J17" s="30" t="e">
        <f t="shared" si="4"/>
        <v>#VALUE!</v>
      </c>
      <c r="K17" s="25" t="str">
        <f>'Carga horaria'!D5</f>
        <v>Ciencias II</v>
      </c>
      <c r="L17" s="25">
        <f>'Carga horaria'!E5</f>
        <v>6</v>
      </c>
      <c r="M17" s="22" t="s">
        <v>127</v>
      </c>
      <c r="N17" s="19" t="str">
        <f t="shared" si="7"/>
        <v>Ciencias II - José Adán</v>
      </c>
      <c r="O17" s="40">
        <f t="shared" si="5"/>
        <v>6</v>
      </c>
      <c r="P17" s="24"/>
      <c r="Q17" s="22" t="s">
        <v>110</v>
      </c>
      <c r="R17" s="19" t="str">
        <f t="shared" si="8"/>
        <v>Ciencias II - Jassiel</v>
      </c>
      <c r="S17" s="40" t="e">
        <f t="shared" si="6"/>
        <v>#NAME?</v>
      </c>
    </row>
    <row r="18" spans="1:19" ht="16.5" customHeight="1" thickTop="1" thickBot="1" x14ac:dyDescent="0.25">
      <c r="A18" s="409" t="s">
        <v>54</v>
      </c>
      <c r="B18" s="11" t="s">
        <v>0</v>
      </c>
      <c r="C18" s="77" t="s">
        <v>219</v>
      </c>
      <c r="D18" s="52" t="s">
        <v>172</v>
      </c>
      <c r="E18" s="48" t="s">
        <v>151</v>
      </c>
      <c r="F18" s="48" t="s">
        <v>234</v>
      </c>
      <c r="G18" s="48" t="s">
        <v>167</v>
      </c>
      <c r="H18" s="48" t="s">
        <v>155</v>
      </c>
      <c r="I18" s="49" t="s">
        <v>153</v>
      </c>
      <c r="J18" s="31" t="e">
        <f t="shared" si="4"/>
        <v>#VALUE!</v>
      </c>
      <c r="K18" s="25" t="str">
        <f>'Carga horaria'!D6</f>
        <v>Historia II</v>
      </c>
      <c r="L18" s="25">
        <f>'Carga horaria'!E6</f>
        <v>4</v>
      </c>
      <c r="M18" s="22" t="s">
        <v>104</v>
      </c>
      <c r="N18" s="19" t="str">
        <f t="shared" si="7"/>
        <v>Historia II - Gerardo</v>
      </c>
      <c r="O18" s="40">
        <f t="shared" si="5"/>
        <v>4</v>
      </c>
      <c r="P18" s="24"/>
      <c r="Q18" s="22" t="s">
        <v>104</v>
      </c>
      <c r="R18" s="19" t="str">
        <f t="shared" si="8"/>
        <v>Historia II - Gerardo</v>
      </c>
      <c r="S18" s="40" t="e">
        <f t="shared" si="6"/>
        <v>#NAME?</v>
      </c>
    </row>
    <row r="19" spans="1:19" ht="17" thickTop="1" thickBot="1" x14ac:dyDescent="0.25">
      <c r="A19" s="409"/>
      <c r="B19" s="12" t="s">
        <v>1</v>
      </c>
      <c r="C19" s="78" t="s">
        <v>220</v>
      </c>
      <c r="D19" s="50" t="s">
        <v>161</v>
      </c>
      <c r="E19" s="42" t="s">
        <v>151</v>
      </c>
      <c r="F19" s="42" t="s">
        <v>160</v>
      </c>
      <c r="G19" s="42" t="s">
        <v>167</v>
      </c>
      <c r="H19" s="42" t="s">
        <v>155</v>
      </c>
      <c r="I19" s="43" t="s">
        <v>153</v>
      </c>
      <c r="J19" s="29" t="e">
        <f t="shared" si="4"/>
        <v>#VALUE!</v>
      </c>
      <c r="K19" s="25" t="str">
        <f>'Carga horaria'!D7</f>
        <v>FCE II</v>
      </c>
      <c r="L19" s="25">
        <f>'Carga horaria'!E7</f>
        <v>2</v>
      </c>
      <c r="M19" s="22" t="s">
        <v>129</v>
      </c>
      <c r="N19" s="19" t="str">
        <f t="shared" si="7"/>
        <v>FCE II - Enrique</v>
      </c>
      <c r="O19" s="40">
        <f t="shared" si="5"/>
        <v>2</v>
      </c>
      <c r="P19" s="24"/>
      <c r="Q19" s="22" t="s">
        <v>109</v>
      </c>
      <c r="R19" s="19" t="str">
        <f t="shared" si="8"/>
        <v>FCE II - María</v>
      </c>
      <c r="S19" s="40" t="e">
        <f t="shared" si="6"/>
        <v>#NAME?</v>
      </c>
    </row>
    <row r="20" spans="1:19" ht="17" thickTop="1" thickBot="1" x14ac:dyDescent="0.25">
      <c r="A20" s="409"/>
      <c r="B20" s="12" t="s">
        <v>2</v>
      </c>
      <c r="C20" s="78" t="s">
        <v>221</v>
      </c>
      <c r="D20" s="50" t="s">
        <v>175</v>
      </c>
      <c r="E20" s="42" t="s">
        <v>183</v>
      </c>
      <c r="F20" s="42" t="s">
        <v>156</v>
      </c>
      <c r="G20" s="42" t="s">
        <v>157</v>
      </c>
      <c r="H20" s="42" t="s">
        <v>171</v>
      </c>
      <c r="I20" s="43" t="s">
        <v>164</v>
      </c>
      <c r="J20" s="29" t="e">
        <f t="shared" si="4"/>
        <v>#VALUE!</v>
      </c>
      <c r="K20" s="25" t="str">
        <f>'Carga horaria'!D8</f>
        <v>Inglés II</v>
      </c>
      <c r="L20" s="25">
        <f>'Carga horaria'!E8</f>
        <v>3</v>
      </c>
      <c r="M20" s="22" t="s">
        <v>102</v>
      </c>
      <c r="N20" s="19" t="str">
        <f t="shared" si="7"/>
        <v>Inglés II - José Nieves</v>
      </c>
      <c r="O20" s="40">
        <f t="shared" si="5"/>
        <v>3</v>
      </c>
      <c r="P20" s="24"/>
      <c r="Q20" s="22" t="s">
        <v>102</v>
      </c>
      <c r="R20" s="19" t="str">
        <f t="shared" si="8"/>
        <v>Inglés II - José Nieves</v>
      </c>
      <c r="S20" s="40" t="e">
        <f t="shared" si="6"/>
        <v>#NAME?</v>
      </c>
    </row>
    <row r="21" spans="1:19" ht="17" thickTop="1" thickBot="1" x14ac:dyDescent="0.25">
      <c r="A21" s="409"/>
      <c r="B21" s="12" t="s">
        <v>3</v>
      </c>
      <c r="C21" s="78" t="s">
        <v>222</v>
      </c>
      <c r="D21" s="50" t="s">
        <v>170</v>
      </c>
      <c r="E21" s="42" t="s">
        <v>176</v>
      </c>
      <c r="F21" s="42" t="s">
        <v>156</v>
      </c>
      <c r="G21" s="42" t="s">
        <v>235</v>
      </c>
      <c r="H21" s="42" t="s">
        <v>179</v>
      </c>
      <c r="I21" s="43" t="s">
        <v>152</v>
      </c>
      <c r="J21" s="29" t="e">
        <f t="shared" si="4"/>
        <v>#VALUE!</v>
      </c>
      <c r="K21" s="25" t="str">
        <f>'Carga horaria'!D9</f>
        <v>Artes II</v>
      </c>
      <c r="L21" s="25">
        <f>'Carga horaria'!E9</f>
        <v>3</v>
      </c>
      <c r="M21" s="22" t="s">
        <v>128</v>
      </c>
      <c r="N21" s="19" t="str">
        <f t="shared" si="7"/>
        <v>Artes II - Juan Pablo</v>
      </c>
      <c r="O21" s="40">
        <f t="shared" si="5"/>
        <v>3</v>
      </c>
      <c r="P21" s="24"/>
      <c r="Q21" s="22" t="s">
        <v>214</v>
      </c>
      <c r="R21" s="19" t="str">
        <f t="shared" si="8"/>
        <v>Artes II -  Jesús Alberto</v>
      </c>
      <c r="S21" s="40" t="e">
        <f t="shared" si="6"/>
        <v>#NAME?</v>
      </c>
    </row>
    <row r="22" spans="1:19" ht="17" thickTop="1" thickBot="1" x14ac:dyDescent="0.25">
      <c r="A22" s="409"/>
      <c r="B22" s="12" t="s">
        <v>4</v>
      </c>
      <c r="C22" s="78" t="s">
        <v>223</v>
      </c>
      <c r="D22" s="50" t="s">
        <v>217</v>
      </c>
      <c r="E22" s="42" t="s">
        <v>236</v>
      </c>
      <c r="F22" s="42" t="s">
        <v>180</v>
      </c>
      <c r="G22" s="42" t="s">
        <v>168</v>
      </c>
      <c r="H22" s="42" t="s">
        <v>165</v>
      </c>
      <c r="I22" s="43" t="s">
        <v>178</v>
      </c>
      <c r="J22" s="29" t="e">
        <f t="shared" si="4"/>
        <v>#VALUE!</v>
      </c>
      <c r="K22" s="25" t="str">
        <f>'Carga horaria'!D10</f>
        <v>Educ. Física II</v>
      </c>
      <c r="L22" s="25">
        <f>'Carga horaria'!E10</f>
        <v>2</v>
      </c>
      <c r="M22" s="22" t="s">
        <v>101</v>
      </c>
      <c r="N22" s="19" t="str">
        <f t="shared" si="7"/>
        <v>Educ. Física II - Antonio</v>
      </c>
      <c r="O22" s="40">
        <f t="shared" si="5"/>
        <v>2</v>
      </c>
      <c r="P22" s="24"/>
      <c r="Q22" s="22" t="s">
        <v>102</v>
      </c>
      <c r="R22" s="19" t="str">
        <f t="shared" si="8"/>
        <v>Educ. Física II - José Nieves</v>
      </c>
      <c r="S22" s="40" t="e">
        <f t="shared" si="6"/>
        <v>#NAME?</v>
      </c>
    </row>
    <row r="23" spans="1:19" ht="17" thickTop="1" thickBot="1" x14ac:dyDescent="0.25">
      <c r="A23" s="409"/>
      <c r="B23" s="12" t="s">
        <v>5</v>
      </c>
      <c r="C23" s="78" t="s">
        <v>224</v>
      </c>
      <c r="D23" s="50" t="s">
        <v>166</v>
      </c>
      <c r="E23" s="42" t="s">
        <v>232</v>
      </c>
      <c r="F23" s="42" t="s">
        <v>162</v>
      </c>
      <c r="G23" s="80" t="s">
        <v>184</v>
      </c>
      <c r="H23" s="42" t="s">
        <v>173</v>
      </c>
      <c r="I23" s="43" t="s">
        <v>174</v>
      </c>
      <c r="J23" s="29" t="e">
        <f t="shared" si="4"/>
        <v>#VALUE!</v>
      </c>
      <c r="K23" s="25" t="str">
        <f>'Carga horaria'!D11</f>
        <v>Tutoría</v>
      </c>
      <c r="L23" s="25">
        <f>'Carga horaria'!E11</f>
        <v>1</v>
      </c>
      <c r="M23" s="22" t="s">
        <v>98</v>
      </c>
      <c r="N23" s="19" t="str">
        <f t="shared" si="7"/>
        <v>Tutoría - Miriam</v>
      </c>
      <c r="O23" s="40">
        <f t="shared" si="5"/>
        <v>1</v>
      </c>
      <c r="P23" s="24"/>
      <c r="Q23" s="22" t="s">
        <v>98</v>
      </c>
      <c r="R23" s="19" t="str">
        <f t="shared" si="8"/>
        <v>Tutoría - Miriam</v>
      </c>
      <c r="S23" s="40" t="e">
        <f t="shared" si="6"/>
        <v>#NAME?</v>
      </c>
    </row>
    <row r="24" spans="1:19" ht="17" thickTop="1" thickBot="1" x14ac:dyDescent="0.25">
      <c r="A24" s="409"/>
      <c r="B24" s="13" t="s">
        <v>6</v>
      </c>
      <c r="C24" s="79" t="s">
        <v>225</v>
      </c>
      <c r="D24" s="51" t="s">
        <v>166</v>
      </c>
      <c r="E24" s="45" t="s">
        <v>159</v>
      </c>
      <c r="F24" s="45" t="s">
        <v>233</v>
      </c>
      <c r="G24" s="45" t="s">
        <v>162</v>
      </c>
      <c r="H24" s="45" t="s">
        <v>153</v>
      </c>
      <c r="I24" s="46" t="s">
        <v>163</v>
      </c>
      <c r="J24" s="30" t="e">
        <f t="shared" si="4"/>
        <v>#VALUE!</v>
      </c>
      <c r="K24" s="25" t="str">
        <f>'Carga horaria'!D12</f>
        <v>Tecnología</v>
      </c>
      <c r="L24" s="25">
        <f>'Carga horaria'!E12</f>
        <v>8</v>
      </c>
      <c r="M24" s="23" t="s">
        <v>129</v>
      </c>
      <c r="N24" s="20" t="str">
        <f t="shared" si="7"/>
        <v>Tecnología - Enrique</v>
      </c>
      <c r="O24" s="40">
        <f t="shared" si="5"/>
        <v>8</v>
      </c>
      <c r="P24" s="24"/>
      <c r="Q24" s="23" t="s">
        <v>103</v>
      </c>
      <c r="R24" s="20" t="str">
        <f t="shared" si="8"/>
        <v>Tecnología - Sonia</v>
      </c>
      <c r="S24" s="40" t="e">
        <f t="shared" si="6"/>
        <v>#NAME?</v>
      </c>
    </row>
    <row r="25" spans="1:19" ht="16.5" customHeight="1" thickTop="1" thickBot="1" x14ac:dyDescent="0.25">
      <c r="A25" s="409" t="s">
        <v>55</v>
      </c>
      <c r="B25" s="11" t="s">
        <v>0</v>
      </c>
      <c r="C25" s="77" t="s">
        <v>219</v>
      </c>
      <c r="D25" s="52" t="s">
        <v>175</v>
      </c>
      <c r="E25" s="48" t="s">
        <v>237</v>
      </c>
      <c r="F25" s="48" t="s">
        <v>233</v>
      </c>
      <c r="G25" s="48" t="s">
        <v>235</v>
      </c>
      <c r="H25" s="48" t="s">
        <v>173</v>
      </c>
      <c r="I25" s="49" t="s">
        <v>152</v>
      </c>
      <c r="J25" s="31" t="e">
        <f t="shared" si="4"/>
        <v>#VALUE!</v>
      </c>
      <c r="K25" s="399" t="s">
        <v>15</v>
      </c>
      <c r="L25" s="401" t="s">
        <v>111</v>
      </c>
      <c r="M25" s="403" t="s">
        <v>125</v>
      </c>
      <c r="N25" s="404"/>
      <c r="O25" s="405"/>
      <c r="P25" s="24"/>
      <c r="Q25" s="406" t="s">
        <v>126</v>
      </c>
      <c r="R25" s="407"/>
      <c r="S25" s="408"/>
    </row>
    <row r="26" spans="1:19" ht="18" thickTop="1" thickBot="1" x14ac:dyDescent="0.25">
      <c r="A26" s="409"/>
      <c r="B26" s="12" t="s">
        <v>1</v>
      </c>
      <c r="C26" s="78" t="s">
        <v>220</v>
      </c>
      <c r="D26" s="50" t="s">
        <v>175</v>
      </c>
      <c r="E26" s="42" t="s">
        <v>237</v>
      </c>
      <c r="F26" s="42" t="s">
        <v>160</v>
      </c>
      <c r="G26" s="42" t="s">
        <v>113</v>
      </c>
      <c r="H26" s="42" t="s">
        <v>171</v>
      </c>
      <c r="I26" s="43" t="s">
        <v>186</v>
      </c>
      <c r="J26" s="29" t="e">
        <f t="shared" si="4"/>
        <v>#VALUE!</v>
      </c>
      <c r="K26" s="400"/>
      <c r="L26" s="402"/>
      <c r="M26" s="17" t="s">
        <v>60</v>
      </c>
      <c r="N26" s="18" t="s">
        <v>65</v>
      </c>
      <c r="O26" s="21" t="s">
        <v>66</v>
      </c>
      <c r="P26" s="24"/>
      <c r="Q26" s="17" t="s">
        <v>60</v>
      </c>
      <c r="R26" s="18" t="s">
        <v>65</v>
      </c>
      <c r="S26" s="21" t="s">
        <v>66</v>
      </c>
    </row>
    <row r="27" spans="1:19" ht="17" thickTop="1" thickBot="1" x14ac:dyDescent="0.25">
      <c r="A27" s="409"/>
      <c r="B27" s="12" t="s">
        <v>2</v>
      </c>
      <c r="C27" s="78" t="s">
        <v>221</v>
      </c>
      <c r="D27" s="50" t="s">
        <v>172</v>
      </c>
      <c r="E27" s="42" t="s">
        <v>151</v>
      </c>
      <c r="F27" s="42" t="s">
        <v>162</v>
      </c>
      <c r="G27" s="42" t="s">
        <v>238</v>
      </c>
      <c r="H27" s="42" t="s">
        <v>153</v>
      </c>
      <c r="I27" s="43" t="s">
        <v>182</v>
      </c>
      <c r="J27" s="29" t="e">
        <f t="shared" si="4"/>
        <v>#VALUE!</v>
      </c>
      <c r="K27" s="25" t="str">
        <f>'Carga horaria'!G3</f>
        <v>Español III</v>
      </c>
      <c r="L27" s="25">
        <f>'Carga horaria'!H3</f>
        <v>5</v>
      </c>
      <c r="M27" s="22" t="s">
        <v>106</v>
      </c>
      <c r="N27" s="19" t="str">
        <f>CONCATENATE(K27," - ", M27)</f>
        <v>Español III - Emmanuel</v>
      </c>
      <c r="O27" s="40" t="e">
        <f t="shared" ref="O27:O36" si="9">L27-COUNTIF(htG,N27)</f>
        <v>#NAME?</v>
      </c>
      <c r="P27" s="24"/>
      <c r="Q27" s="22" t="s">
        <v>106</v>
      </c>
      <c r="R27" s="19" t="str">
        <f>CONCATENATE(K27," - ",Q27)</f>
        <v>Español III - Emmanuel</v>
      </c>
      <c r="S27" s="40" t="e">
        <f t="shared" ref="S27:S36" si="10">L27-COUNTIF(htH,R27)</f>
        <v>#NAME?</v>
      </c>
    </row>
    <row r="28" spans="1:19" ht="17" thickTop="1" thickBot="1" x14ac:dyDescent="0.25">
      <c r="A28" s="409"/>
      <c r="B28" s="12" t="s">
        <v>3</v>
      </c>
      <c r="C28" s="78" t="s">
        <v>222</v>
      </c>
      <c r="D28" s="50" t="s">
        <v>159</v>
      </c>
      <c r="E28" s="42" t="s">
        <v>185</v>
      </c>
      <c r="F28" s="42" t="s">
        <v>169</v>
      </c>
      <c r="G28" s="42" t="s">
        <v>167</v>
      </c>
      <c r="H28" s="42" t="s">
        <v>179</v>
      </c>
      <c r="I28" s="43" t="s">
        <v>163</v>
      </c>
      <c r="J28" s="32" t="e">
        <f t="shared" si="4"/>
        <v>#VALUE!</v>
      </c>
      <c r="K28" s="25" t="str">
        <f>'Carga horaria'!G4</f>
        <v>Matemáticas III</v>
      </c>
      <c r="L28" s="25">
        <f>'Carga horaria'!H4</f>
        <v>5</v>
      </c>
      <c r="M28" s="22" t="s">
        <v>99</v>
      </c>
      <c r="N28" s="19" t="str">
        <f t="shared" ref="N28:N36" si="11">CONCATENATE(K28," - ", M28)</f>
        <v>Matemáticas III - Jesús</v>
      </c>
      <c r="O28" s="40" t="e">
        <f t="shared" si="9"/>
        <v>#NAME?</v>
      </c>
      <c r="P28" s="24"/>
      <c r="Q28" s="22" t="s">
        <v>107</v>
      </c>
      <c r="R28" s="19" t="str">
        <f t="shared" ref="R28:R36" si="12">CONCATENATE(K28," - ",Q28)</f>
        <v xml:space="preserve">Matemáticas III - Moises </v>
      </c>
      <c r="S28" s="40" t="e">
        <f t="shared" si="10"/>
        <v>#NAME?</v>
      </c>
    </row>
    <row r="29" spans="1:19" ht="17" thickTop="1" thickBot="1" x14ac:dyDescent="0.25">
      <c r="A29" s="409"/>
      <c r="B29" s="12" t="s">
        <v>4</v>
      </c>
      <c r="C29" s="78" t="s">
        <v>223</v>
      </c>
      <c r="D29" s="50" t="s">
        <v>161</v>
      </c>
      <c r="E29" s="42" t="s">
        <v>181</v>
      </c>
      <c r="F29" s="42" t="s">
        <v>234</v>
      </c>
      <c r="G29" s="42" t="s">
        <v>184</v>
      </c>
      <c r="H29" s="42" t="s">
        <v>114</v>
      </c>
      <c r="I29" s="43" t="s">
        <v>174</v>
      </c>
      <c r="J29" s="29" t="e">
        <f t="shared" si="4"/>
        <v>#VALUE!</v>
      </c>
      <c r="K29" s="25" t="str">
        <f>'Carga horaria'!G5</f>
        <v>Ciencias III</v>
      </c>
      <c r="L29" s="25">
        <f>'Carga horaria'!H5</f>
        <v>6</v>
      </c>
      <c r="M29" s="22" t="s">
        <v>102</v>
      </c>
      <c r="N29" s="19" t="str">
        <f t="shared" si="11"/>
        <v>Ciencias III - José Nieves</v>
      </c>
      <c r="O29" s="40" t="e">
        <f t="shared" si="9"/>
        <v>#NAME?</v>
      </c>
      <c r="P29" s="24"/>
      <c r="Q29" s="22" t="s">
        <v>110</v>
      </c>
      <c r="R29" s="19" t="str">
        <f t="shared" si="12"/>
        <v>Ciencias III - Jassiel</v>
      </c>
      <c r="S29" s="40" t="e">
        <f t="shared" si="10"/>
        <v>#NAME?</v>
      </c>
    </row>
    <row r="30" spans="1:19" ht="17" thickTop="1" thickBot="1" x14ac:dyDescent="0.25">
      <c r="A30" s="409"/>
      <c r="B30" s="12" t="s">
        <v>5</v>
      </c>
      <c r="C30" s="78" t="s">
        <v>224</v>
      </c>
      <c r="D30" s="50" t="s">
        <v>170</v>
      </c>
      <c r="E30" s="42" t="s">
        <v>183</v>
      </c>
      <c r="F30" s="42" t="s">
        <v>234</v>
      </c>
      <c r="G30" s="42" t="s">
        <v>162</v>
      </c>
      <c r="H30" s="42" t="s">
        <v>177</v>
      </c>
      <c r="I30" s="43" t="s">
        <v>153</v>
      </c>
      <c r="J30" s="29" t="e">
        <f t="shared" si="4"/>
        <v>#VALUE!</v>
      </c>
      <c r="K30" s="25" t="str">
        <f>'Carga horaria'!G6</f>
        <v>Historia III</v>
      </c>
      <c r="L30" s="25">
        <f>'Carga horaria'!H6</f>
        <v>4</v>
      </c>
      <c r="M30" s="22" t="s">
        <v>109</v>
      </c>
      <c r="N30" s="19" t="str">
        <f t="shared" si="11"/>
        <v>Historia III - María</v>
      </c>
      <c r="O30" s="40" t="e">
        <f t="shared" si="9"/>
        <v>#NAME?</v>
      </c>
      <c r="P30" s="24"/>
      <c r="Q30" s="22" t="s">
        <v>105</v>
      </c>
      <c r="R30" s="19" t="str">
        <f t="shared" si="12"/>
        <v>Historia III - Vicente</v>
      </c>
      <c r="S30" s="40" t="e">
        <f t="shared" si="10"/>
        <v>#NAME?</v>
      </c>
    </row>
    <row r="31" spans="1:19" ht="17" thickTop="1" thickBot="1" x14ac:dyDescent="0.25">
      <c r="A31" s="409"/>
      <c r="B31" s="13" t="s">
        <v>6</v>
      </c>
      <c r="C31" s="79" t="s">
        <v>225</v>
      </c>
      <c r="D31" s="51" t="s">
        <v>170</v>
      </c>
      <c r="E31" s="45" t="s">
        <v>232</v>
      </c>
      <c r="F31" s="45" t="s">
        <v>180</v>
      </c>
      <c r="G31" s="45" t="s">
        <v>160</v>
      </c>
      <c r="H31" s="45" t="s">
        <v>165</v>
      </c>
      <c r="I31" s="46" t="s">
        <v>178</v>
      </c>
      <c r="J31" s="30" t="e">
        <f t="shared" si="4"/>
        <v>#VALUE!</v>
      </c>
      <c r="K31" s="25" t="str">
        <f>'Carga horaria'!G7</f>
        <v>FCE III</v>
      </c>
      <c r="L31" s="25">
        <f>'Carga horaria'!H7</f>
        <v>2</v>
      </c>
      <c r="M31" s="22" t="s">
        <v>129</v>
      </c>
      <c r="N31" s="19" t="str">
        <f t="shared" si="11"/>
        <v>FCE III - Enrique</v>
      </c>
      <c r="O31" s="40" t="e">
        <f t="shared" si="9"/>
        <v>#NAME?</v>
      </c>
      <c r="P31" s="24"/>
      <c r="Q31" s="22" t="s">
        <v>130</v>
      </c>
      <c r="R31" s="19" t="str">
        <f t="shared" si="12"/>
        <v>FCE III - Marlene</v>
      </c>
      <c r="S31" s="40" t="e">
        <f t="shared" si="10"/>
        <v>#NAME?</v>
      </c>
    </row>
    <row r="32" spans="1:19" ht="17" thickTop="1" thickBot="1" x14ac:dyDescent="0.25">
      <c r="A32" s="410" t="s">
        <v>56</v>
      </c>
      <c r="B32" s="14" t="s">
        <v>0</v>
      </c>
      <c r="C32" s="77" t="s">
        <v>219</v>
      </c>
      <c r="D32" s="53" t="s">
        <v>112</v>
      </c>
      <c r="E32" s="54" t="s">
        <v>237</v>
      </c>
      <c r="F32" s="54" t="s">
        <v>234</v>
      </c>
      <c r="G32" s="54" t="s">
        <v>162</v>
      </c>
      <c r="H32" s="54" t="s">
        <v>177</v>
      </c>
      <c r="I32" s="55" t="s">
        <v>211</v>
      </c>
      <c r="J32" s="32" t="e">
        <f t="shared" si="4"/>
        <v>#VALUE!</v>
      </c>
      <c r="K32" s="25" t="str">
        <f>'Carga horaria'!G8</f>
        <v>Inglés III</v>
      </c>
      <c r="L32" s="25">
        <f>'Carga horaria'!H8</f>
        <v>3</v>
      </c>
      <c r="M32" s="22" t="s">
        <v>102</v>
      </c>
      <c r="N32" s="19" t="str">
        <f t="shared" si="11"/>
        <v>Inglés III - José Nieves</v>
      </c>
      <c r="O32" s="40" t="e">
        <f t="shared" si="9"/>
        <v>#NAME?</v>
      </c>
      <c r="P32" s="24"/>
      <c r="Q32" s="22" t="s">
        <v>105</v>
      </c>
      <c r="R32" s="19" t="str">
        <f t="shared" si="12"/>
        <v>Inglés III - Vicente</v>
      </c>
      <c r="S32" s="40" t="e">
        <f t="shared" si="10"/>
        <v>#NAME?</v>
      </c>
    </row>
    <row r="33" spans="1:19" ht="17" thickTop="1" thickBot="1" x14ac:dyDescent="0.25">
      <c r="A33" s="409"/>
      <c r="B33" s="12" t="s">
        <v>1</v>
      </c>
      <c r="C33" s="78" t="s">
        <v>220</v>
      </c>
      <c r="D33" s="50" t="s">
        <v>175</v>
      </c>
      <c r="E33" s="42" t="s">
        <v>183</v>
      </c>
      <c r="F33" s="42" t="s">
        <v>169</v>
      </c>
      <c r="G33" s="42" t="s">
        <v>238</v>
      </c>
      <c r="H33" s="42" t="s">
        <v>179</v>
      </c>
      <c r="I33" s="43" t="s">
        <v>158</v>
      </c>
      <c r="J33" s="29" t="e">
        <f t="shared" si="4"/>
        <v>#VALUE!</v>
      </c>
      <c r="K33" s="25" t="str">
        <f>'Carga horaria'!G9</f>
        <v>Educ. Física III</v>
      </c>
      <c r="L33" s="25">
        <f>'Carga horaria'!H9</f>
        <v>2</v>
      </c>
      <c r="M33" s="22" t="s">
        <v>214</v>
      </c>
      <c r="N33" s="19" t="str">
        <f t="shared" si="11"/>
        <v>Educ. Física III -  Jesús Alberto</v>
      </c>
      <c r="O33" s="40" t="e">
        <f t="shared" si="9"/>
        <v>#NAME?</v>
      </c>
      <c r="P33" s="24"/>
      <c r="Q33" s="22" t="s">
        <v>128</v>
      </c>
      <c r="R33" s="19" t="str">
        <f t="shared" si="12"/>
        <v>Educ. Física III - Juan Pablo</v>
      </c>
      <c r="S33" s="40" t="e">
        <f t="shared" si="10"/>
        <v>#NAME?</v>
      </c>
    </row>
    <row r="34" spans="1:19" ht="17" thickTop="1" thickBot="1" x14ac:dyDescent="0.25">
      <c r="A34" s="409"/>
      <c r="B34" s="12" t="s">
        <v>2</v>
      </c>
      <c r="C34" s="78" t="s">
        <v>221</v>
      </c>
      <c r="D34" s="50" t="s">
        <v>166</v>
      </c>
      <c r="E34" s="42" t="s">
        <v>159</v>
      </c>
      <c r="F34" s="42" t="s">
        <v>162</v>
      </c>
      <c r="G34" s="42" t="s">
        <v>215</v>
      </c>
      <c r="H34" s="42" t="s">
        <v>165</v>
      </c>
      <c r="I34" s="43" t="s">
        <v>152</v>
      </c>
      <c r="J34" s="29" t="e">
        <f t="shared" si="4"/>
        <v>#VALUE!</v>
      </c>
      <c r="K34" s="25" t="str">
        <f>'Carga horaria'!G10</f>
        <v>Artes III</v>
      </c>
      <c r="L34" s="25">
        <f>'Carga horaria'!H10</f>
        <v>3</v>
      </c>
      <c r="M34" s="22" t="s">
        <v>101</v>
      </c>
      <c r="N34" s="19" t="str">
        <f t="shared" si="11"/>
        <v>Artes III - Antonio</v>
      </c>
      <c r="O34" s="40" t="e">
        <f t="shared" si="9"/>
        <v>#NAME?</v>
      </c>
      <c r="P34" s="24"/>
      <c r="Q34" s="22" t="s">
        <v>102</v>
      </c>
      <c r="R34" s="19" t="str">
        <f t="shared" si="12"/>
        <v>Artes III - José Nieves</v>
      </c>
      <c r="S34" s="40" t="e">
        <f t="shared" si="10"/>
        <v>#NAME?</v>
      </c>
    </row>
    <row r="35" spans="1:19" ht="17" thickTop="1" thickBot="1" x14ac:dyDescent="0.25">
      <c r="A35" s="409"/>
      <c r="B35" s="12" t="s">
        <v>3</v>
      </c>
      <c r="C35" s="78" t="s">
        <v>222</v>
      </c>
      <c r="D35" s="50" t="s">
        <v>159</v>
      </c>
      <c r="E35" s="42" t="s">
        <v>176</v>
      </c>
      <c r="F35" s="42" t="s">
        <v>233</v>
      </c>
      <c r="G35" s="42" t="s">
        <v>184</v>
      </c>
      <c r="H35" s="42" t="s">
        <v>171</v>
      </c>
      <c r="I35" s="43" t="s">
        <v>152</v>
      </c>
      <c r="J35" s="29" t="e">
        <f t="shared" si="4"/>
        <v>#VALUE!</v>
      </c>
      <c r="K35" s="25" t="str">
        <f>'Carga horaria'!G11</f>
        <v>Tutoría</v>
      </c>
      <c r="L35" s="25">
        <f>'Carga horaria'!H11</f>
        <v>1</v>
      </c>
      <c r="M35" s="22" t="s">
        <v>98</v>
      </c>
      <c r="N35" s="19" t="str">
        <f t="shared" si="11"/>
        <v>Tutoría - Miriam</v>
      </c>
      <c r="O35" s="40" t="e">
        <f t="shared" si="9"/>
        <v>#NAME?</v>
      </c>
      <c r="P35" s="24"/>
      <c r="Q35" s="22" t="s">
        <v>103</v>
      </c>
      <c r="R35" s="19" t="str">
        <f t="shared" si="12"/>
        <v>Tutoría - Sonia</v>
      </c>
      <c r="S35" s="40" t="e">
        <f t="shared" si="10"/>
        <v>#NAME?</v>
      </c>
    </row>
    <row r="36" spans="1:19" ht="17" thickTop="1" thickBot="1" x14ac:dyDescent="0.25">
      <c r="A36" s="409"/>
      <c r="B36" s="12" t="s">
        <v>4</v>
      </c>
      <c r="C36" s="78" t="s">
        <v>223</v>
      </c>
      <c r="D36" s="50" t="s">
        <v>172</v>
      </c>
      <c r="E36" s="42" t="s">
        <v>232</v>
      </c>
      <c r="F36" s="42" t="s">
        <v>113</v>
      </c>
      <c r="G36" s="42" t="s">
        <v>157</v>
      </c>
      <c r="H36" s="42" t="s">
        <v>171</v>
      </c>
      <c r="I36" s="43" t="s">
        <v>174</v>
      </c>
      <c r="J36" s="29" t="e">
        <f t="shared" si="4"/>
        <v>#VALUE!</v>
      </c>
      <c r="K36" s="25" t="str">
        <f>'Carga horaria'!G12</f>
        <v>Tecnología</v>
      </c>
      <c r="L36" s="25">
        <f>'Carga horaria'!H12</f>
        <v>8</v>
      </c>
      <c r="M36" s="23" t="s">
        <v>108</v>
      </c>
      <c r="N36" s="20" t="str">
        <f t="shared" si="11"/>
        <v>Tecnología - Juan Francisco</v>
      </c>
      <c r="O36" s="40" t="e">
        <f t="shared" si="9"/>
        <v>#NAME?</v>
      </c>
      <c r="P36" s="56"/>
      <c r="Q36" s="23" t="s">
        <v>130</v>
      </c>
      <c r="R36" s="20" t="str">
        <f t="shared" si="12"/>
        <v>Tecnología - Marlene</v>
      </c>
      <c r="S36" s="40" t="e">
        <f t="shared" si="10"/>
        <v>#NAME?</v>
      </c>
    </row>
    <row r="37" spans="1:19" ht="17" thickTop="1" thickBot="1" x14ac:dyDescent="0.25">
      <c r="A37" s="409"/>
      <c r="B37" s="12" t="s">
        <v>5</v>
      </c>
      <c r="C37" s="78" t="s">
        <v>224</v>
      </c>
      <c r="D37" s="50" t="s">
        <v>170</v>
      </c>
      <c r="E37" s="42" t="s">
        <v>232</v>
      </c>
      <c r="F37" s="42" t="s">
        <v>180</v>
      </c>
      <c r="G37" s="42" t="s">
        <v>157</v>
      </c>
      <c r="H37" s="42" t="s">
        <v>216</v>
      </c>
      <c r="I37" s="43" t="s">
        <v>174</v>
      </c>
      <c r="J37" s="29" t="e">
        <f t="shared" si="4"/>
        <v>#VALUE!</v>
      </c>
    </row>
    <row r="38" spans="1:19" ht="17" thickTop="1" thickBot="1" x14ac:dyDescent="0.25">
      <c r="A38" s="409"/>
      <c r="B38" s="13" t="s">
        <v>6</v>
      </c>
      <c r="C38" s="79" t="s">
        <v>225</v>
      </c>
      <c r="D38" s="51" t="s">
        <v>217</v>
      </c>
      <c r="E38" s="45" t="s">
        <v>181</v>
      </c>
      <c r="F38" s="45" t="s">
        <v>188</v>
      </c>
      <c r="G38" s="45" t="s">
        <v>235</v>
      </c>
      <c r="H38" s="45" t="s">
        <v>173</v>
      </c>
      <c r="I38" s="46" t="s">
        <v>163</v>
      </c>
      <c r="J38" s="30" t="e">
        <f t="shared" si="4"/>
        <v>#VALUE!</v>
      </c>
      <c r="L38" s="61" t="str">
        <f>IF(MATCH(D4,D4:I4,0)&gt;1,"X","")</f>
        <v/>
      </c>
      <c r="M38" s="5" t="str">
        <f>RIGHT(D4,FIND(" - ",D4))</f>
        <v>ncisco</v>
      </c>
      <c r="N38" s="33" t="str">
        <f>RIGHT(D4,LEN(D4)-FIND(" - ",D4)-3)</f>
        <v>uan Francisco</v>
      </c>
      <c r="Q38" s="61" t="e">
        <f t="array" ref="Q38">IF(MATCH(RIGHT(D4,FIND(" - ",D4)),D4:I4,0)&gt;1,"X","")</f>
        <v>#N/A</v>
      </c>
    </row>
    <row r="39" spans="1:19" ht="16" thickTop="1" x14ac:dyDescent="0.2"/>
  </sheetData>
  <mergeCells count="18">
    <mergeCell ref="A4:A10"/>
    <mergeCell ref="Q25:S25"/>
    <mergeCell ref="A32:A38"/>
    <mergeCell ref="A11:A17"/>
    <mergeCell ref="K13:K14"/>
    <mergeCell ref="L13:L14"/>
    <mergeCell ref="M13:O13"/>
    <mergeCell ref="A25:A31"/>
    <mergeCell ref="K25:K26"/>
    <mergeCell ref="L25:L26"/>
    <mergeCell ref="M25:O25"/>
    <mergeCell ref="Q13:S13"/>
    <mergeCell ref="A18:A24"/>
    <mergeCell ref="J1:J2"/>
    <mergeCell ref="K1:K2"/>
    <mergeCell ref="L1:L2"/>
    <mergeCell ref="M1:O1"/>
    <mergeCell ref="Q1:S1"/>
  </mergeCells>
  <conditionalFormatting sqref="D4:I38">
    <cfRule type="expression" dxfId="22" priority="4">
      <formula>RIGHT(D4,LEN(D4)-FIND(" - ",D4)-2)=$E$1</formula>
    </cfRule>
  </conditionalFormatting>
  <conditionalFormatting sqref="O3:O12 S3:S12 O15:O24 S15:S24 O27:O36 S27:S36">
    <cfRule type="cellIs" dxfId="21" priority="3" operator="greaterThan">
      <formula>0</formula>
    </cfRule>
  </conditionalFormatting>
  <conditionalFormatting sqref="M3:M12 M15:M24 M27:M36 Q3:Q12 Q15:Q24 Q27:Q36">
    <cfRule type="expression" dxfId="20" priority="2">
      <formula>M3=$E$1</formula>
    </cfRule>
  </conditionalFormatting>
  <conditionalFormatting sqref="J3:J38">
    <cfRule type="cellIs" dxfId="19" priority="1" operator="equal">
      <formula>"X"</formula>
    </cfRule>
  </conditionalFormatting>
  <dataValidations disablePrompts="1" count="8">
    <dataValidation type="list" allowBlank="1" showInputMessage="1" showErrorMessage="1" sqref="E1" xr:uid="{00000000-0002-0000-0100-000000000000}">
      <formula1>ListaMaestros</formula1>
    </dataValidation>
    <dataValidation type="list" showInputMessage="1" showErrorMessage="1" sqref="M3:M12 Q3:Q12 M15:M24 Q15:Q24 M27:M36 Q27:Q36" xr:uid="{00000000-0002-0000-0100-000001000000}">
      <formula1>ListaMaestros</formula1>
    </dataValidation>
    <dataValidation type="list" allowBlank="1" showInputMessage="1" showErrorMessage="1" sqref="D4:D38" xr:uid="{00000000-0002-0000-0100-000002000000}">
      <formula1>PrimeroG</formula1>
    </dataValidation>
    <dataValidation type="list" allowBlank="1" showInputMessage="1" showErrorMessage="1" sqref="E4:E38" xr:uid="{00000000-0002-0000-0100-000003000000}">
      <formula1>PrimeroH</formula1>
    </dataValidation>
    <dataValidation type="list" allowBlank="1" showInputMessage="1" showErrorMessage="1" sqref="F4:F38" xr:uid="{00000000-0002-0000-0100-000004000000}">
      <formula1>SegundoC</formula1>
    </dataValidation>
    <dataValidation type="list" allowBlank="1" showInputMessage="1" showErrorMessage="1" sqref="G4:G38" xr:uid="{00000000-0002-0000-0100-000005000000}">
      <formula1>SegundoH</formula1>
    </dataValidation>
    <dataValidation type="list" allowBlank="1" showInputMessage="1" showErrorMessage="1" sqref="H4:H38" xr:uid="{00000000-0002-0000-0100-000006000000}">
      <formula1>TerceroG</formula1>
    </dataValidation>
    <dataValidation type="list" allowBlank="1" showInputMessage="1" showErrorMessage="1" sqref="I4:I38" xr:uid="{00000000-0002-0000-0100-000007000000}">
      <formula1>TerceroH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118B8-E532-423B-9F61-64B80C6D2AF9}">
  <sheetPr codeName="Hoja6"/>
  <dimension ref="A1:H37"/>
  <sheetViews>
    <sheetView zoomScale="150" zoomScaleNormal="85" workbookViewId="0">
      <selection sqref="A1:C1"/>
    </sheetView>
  </sheetViews>
  <sheetFormatPr baseColWidth="10" defaultRowHeight="15" x14ac:dyDescent="0.2"/>
  <cols>
    <col min="1" max="1" width="12.6640625" customWidth="1"/>
    <col min="2" max="3" width="6.6640625" customWidth="1"/>
    <col min="4" max="4" width="18.6640625" customWidth="1"/>
    <col min="5" max="5" width="40.6640625" customWidth="1"/>
    <col min="6" max="6" width="15.6640625" customWidth="1"/>
    <col min="7" max="7" width="40.6640625" customWidth="1"/>
    <col min="8" max="8" width="15.6640625" customWidth="1"/>
  </cols>
  <sheetData>
    <row r="1" spans="1:8" ht="30" customHeight="1" thickBot="1" x14ac:dyDescent="0.35">
      <c r="A1" s="418" t="s">
        <v>470</v>
      </c>
      <c r="B1" s="418"/>
      <c r="C1" s="418"/>
      <c r="D1" s="262" t="s">
        <v>473</v>
      </c>
      <c r="E1" s="415" t="s">
        <v>474</v>
      </c>
      <c r="F1" s="416"/>
      <c r="G1" s="416"/>
      <c r="H1" s="416"/>
    </row>
    <row r="2" spans="1:8" ht="30" customHeight="1" thickBot="1" x14ac:dyDescent="0.35">
      <c r="A2" s="417" t="s">
        <v>443</v>
      </c>
      <c r="B2" s="417"/>
      <c r="C2" s="417"/>
      <c r="D2" s="296" t="s">
        <v>481</v>
      </c>
      <c r="E2" s="291"/>
      <c r="F2" s="292"/>
      <c r="G2" s="292"/>
      <c r="H2" s="292"/>
    </row>
    <row r="3" spans="1:8" ht="30" customHeight="1" thickBot="1" x14ac:dyDescent="0.25">
      <c r="A3" s="419" t="s">
        <v>325</v>
      </c>
      <c r="B3" s="263" t="s">
        <v>328</v>
      </c>
      <c r="C3" s="421" t="s">
        <v>471</v>
      </c>
      <c r="D3" s="422"/>
      <c r="E3" s="264" t="s">
        <v>134</v>
      </c>
      <c r="F3" s="265" t="s">
        <v>472</v>
      </c>
      <c r="G3" s="265" t="s">
        <v>135</v>
      </c>
      <c r="H3" s="266" t="s">
        <v>472</v>
      </c>
    </row>
    <row r="4" spans="1:8" ht="30" customHeight="1" x14ac:dyDescent="0.2">
      <c r="A4" s="411"/>
      <c r="B4" s="267">
        <v>1</v>
      </c>
      <c r="C4" s="268">
        <f>'Carga horaria'!B3</f>
        <v>5</v>
      </c>
      <c r="D4" s="269" t="str">
        <f>'Carga horaria'!A3</f>
        <v>Español I</v>
      </c>
      <c r="E4" s="270" t="s">
        <v>447</v>
      </c>
      <c r="F4" s="271" t="s">
        <v>134</v>
      </c>
      <c r="G4" s="271"/>
      <c r="H4" s="293"/>
    </row>
    <row r="5" spans="1:8" ht="30" customHeight="1" x14ac:dyDescent="0.2">
      <c r="A5" s="411"/>
      <c r="B5" s="272">
        <v>2</v>
      </c>
      <c r="C5" s="268">
        <f>'Carga horaria'!B4</f>
        <v>5</v>
      </c>
      <c r="D5" s="269" t="str">
        <f>'Carga horaria'!A4</f>
        <v>Matemáticas I</v>
      </c>
      <c r="E5" s="273" t="s">
        <v>443</v>
      </c>
      <c r="F5" s="274" t="s">
        <v>328</v>
      </c>
      <c r="G5" s="273"/>
      <c r="H5" s="275"/>
    </row>
    <row r="6" spans="1:8" ht="30" customHeight="1" x14ac:dyDescent="0.2">
      <c r="A6" s="411"/>
      <c r="B6" s="272">
        <v>3</v>
      </c>
      <c r="C6" s="268">
        <f>'Carga horaria'!B5</f>
        <v>4</v>
      </c>
      <c r="D6" s="269" t="str">
        <f>'Carga horaria'!A5</f>
        <v>Ciencias I</v>
      </c>
      <c r="E6" s="273" t="s">
        <v>451</v>
      </c>
      <c r="F6" s="274" t="s">
        <v>134</v>
      </c>
      <c r="G6" s="273"/>
      <c r="H6" s="294"/>
    </row>
    <row r="7" spans="1:8" ht="30" customHeight="1" x14ac:dyDescent="0.2">
      <c r="A7" s="411"/>
      <c r="B7" s="272">
        <v>4</v>
      </c>
      <c r="C7" s="268">
        <f>'Carga horaria'!B6</f>
        <v>2</v>
      </c>
      <c r="D7" s="269" t="str">
        <f>'Carga horaria'!A6</f>
        <v>Historia I</v>
      </c>
      <c r="E7" s="273" t="s">
        <v>449</v>
      </c>
      <c r="F7" s="274" t="s">
        <v>134</v>
      </c>
      <c r="G7" s="274"/>
      <c r="H7" s="294"/>
    </row>
    <row r="8" spans="1:8" ht="30" customHeight="1" x14ac:dyDescent="0.2">
      <c r="A8" s="411"/>
      <c r="B8" s="272">
        <v>5</v>
      </c>
      <c r="C8" s="268">
        <f>'Carga horaria'!B7</f>
        <v>2</v>
      </c>
      <c r="D8" s="269" t="str">
        <f>'Carga horaria'!A7</f>
        <v>F.C.E. I</v>
      </c>
      <c r="E8" s="273" t="s">
        <v>443</v>
      </c>
      <c r="F8" s="276" t="s">
        <v>134</v>
      </c>
      <c r="G8" s="273"/>
      <c r="H8" s="294"/>
    </row>
    <row r="9" spans="1:8" ht="30" customHeight="1" x14ac:dyDescent="0.2">
      <c r="A9" s="411"/>
      <c r="B9" s="272">
        <v>6</v>
      </c>
      <c r="C9" s="268">
        <f>'Carga horaria'!B8</f>
        <v>4</v>
      </c>
      <c r="D9" s="269" t="str">
        <f>'Carga horaria'!A8</f>
        <v>Geografía</v>
      </c>
      <c r="E9" s="273" t="s">
        <v>449</v>
      </c>
      <c r="F9" s="273" t="s">
        <v>135</v>
      </c>
      <c r="G9" s="273"/>
      <c r="H9" s="294"/>
    </row>
    <row r="10" spans="1:8" ht="30" customHeight="1" x14ac:dyDescent="0.2">
      <c r="A10" s="411"/>
      <c r="B10" s="272">
        <v>7</v>
      </c>
      <c r="C10" s="268">
        <f>'Carga horaria'!B9</f>
        <v>3</v>
      </c>
      <c r="D10" s="269" t="str">
        <f>'Carga horaria'!A9</f>
        <v>Inglés I</v>
      </c>
      <c r="E10" s="273" t="s">
        <v>442</v>
      </c>
      <c r="F10" s="274" t="s">
        <v>134</v>
      </c>
      <c r="G10" s="273"/>
      <c r="H10" s="294"/>
    </row>
    <row r="11" spans="1:8" ht="30" customHeight="1" x14ac:dyDescent="0.2">
      <c r="A11" s="411"/>
      <c r="B11" s="272">
        <v>8</v>
      </c>
      <c r="C11" s="268">
        <f>'Carga horaria'!B10</f>
        <v>2</v>
      </c>
      <c r="D11" s="269" t="str">
        <f>'Carga horaria'!A10</f>
        <v>Educ. Física I</v>
      </c>
      <c r="E11" s="273" t="s">
        <v>451</v>
      </c>
      <c r="F11" s="273" t="s">
        <v>134</v>
      </c>
      <c r="G11" s="273"/>
      <c r="H11" s="275"/>
    </row>
    <row r="12" spans="1:8" ht="30" customHeight="1" x14ac:dyDescent="0.2">
      <c r="A12" s="411"/>
      <c r="B12" s="272">
        <v>9</v>
      </c>
      <c r="C12" s="268">
        <f>'Carga horaria'!B11</f>
        <v>3</v>
      </c>
      <c r="D12" s="269" t="str">
        <f>'Carga horaria'!A11</f>
        <v>Artes I</v>
      </c>
      <c r="E12" s="273" t="s">
        <v>442</v>
      </c>
      <c r="F12" s="274" t="s">
        <v>135</v>
      </c>
      <c r="G12" s="273"/>
      <c r="H12" s="275"/>
    </row>
    <row r="13" spans="1:8" ht="30" customHeight="1" x14ac:dyDescent="0.2">
      <c r="A13" s="411"/>
      <c r="B13" s="272">
        <v>10</v>
      </c>
      <c r="C13" s="268">
        <f>'Carga horaria'!B12</f>
        <v>1</v>
      </c>
      <c r="D13" s="269" t="str">
        <f>'Carga horaria'!A12</f>
        <v>Tutoría</v>
      </c>
      <c r="E13" s="273" t="s">
        <v>447</v>
      </c>
      <c r="F13" s="274"/>
      <c r="G13" s="273"/>
      <c r="H13" s="275"/>
    </row>
    <row r="14" spans="1:8" ht="30" customHeight="1" x14ac:dyDescent="0.2">
      <c r="A14" s="411"/>
      <c r="B14" s="272">
        <v>11</v>
      </c>
      <c r="C14" s="323">
        <f>'Carga horaria'!B13</f>
        <v>8</v>
      </c>
      <c r="D14" s="269" t="str">
        <f>'Carga horaria'!A13</f>
        <v>Tecnología</v>
      </c>
      <c r="E14" s="273" t="s">
        <v>451</v>
      </c>
      <c r="F14" s="274"/>
      <c r="G14" s="273"/>
      <c r="H14" s="275"/>
    </row>
    <row r="15" spans="1:8" ht="30" customHeight="1" thickBot="1" x14ac:dyDescent="0.25">
      <c r="A15" s="420"/>
      <c r="B15" s="317">
        <v>12</v>
      </c>
      <c r="C15" s="318">
        <f>'Carga horaria'!B14</f>
        <v>1</v>
      </c>
      <c r="D15" s="319" t="str">
        <f>'Carga horaria'!A14</f>
        <v>A. Curricular</v>
      </c>
      <c r="E15" s="320" t="s">
        <v>451</v>
      </c>
      <c r="F15" s="321"/>
      <c r="G15" s="320"/>
      <c r="H15" s="322"/>
    </row>
    <row r="16" spans="1:8" ht="30" customHeight="1" x14ac:dyDescent="0.2">
      <c r="A16" s="411" t="s">
        <v>326</v>
      </c>
      <c r="B16" s="267">
        <v>1</v>
      </c>
      <c r="C16" s="268">
        <f>'Carga horaria'!E3</f>
        <v>5</v>
      </c>
      <c r="D16" s="269" t="str">
        <f>'Carga horaria'!D3</f>
        <v>Español II</v>
      </c>
      <c r="E16" s="271" t="s">
        <v>447</v>
      </c>
      <c r="F16" s="271" t="s">
        <v>134</v>
      </c>
      <c r="G16" s="271" t="s">
        <v>447</v>
      </c>
      <c r="H16" s="293" t="s">
        <v>134</v>
      </c>
    </row>
    <row r="17" spans="1:8" ht="30" customHeight="1" x14ac:dyDescent="0.2">
      <c r="A17" s="411"/>
      <c r="B17" s="272">
        <v>2</v>
      </c>
      <c r="C17" s="268">
        <f>'Carga horaria'!E4</f>
        <v>5</v>
      </c>
      <c r="D17" s="269" t="str">
        <f>'Carga horaria'!D4</f>
        <v>Matemáticas II</v>
      </c>
      <c r="E17" s="273" t="s">
        <v>446</v>
      </c>
      <c r="F17" s="273" t="s">
        <v>134</v>
      </c>
      <c r="G17" s="273" t="s">
        <v>446</v>
      </c>
      <c r="H17" s="275" t="s">
        <v>134</v>
      </c>
    </row>
    <row r="18" spans="1:8" ht="30" customHeight="1" x14ac:dyDescent="0.2">
      <c r="A18" s="411"/>
      <c r="B18" s="272">
        <v>3</v>
      </c>
      <c r="C18" s="268">
        <f>'Carga horaria'!E5</f>
        <v>6</v>
      </c>
      <c r="D18" s="269" t="str">
        <f>'Carga horaria'!D5</f>
        <v>Ciencias II</v>
      </c>
      <c r="E18" s="273" t="s">
        <v>452</v>
      </c>
      <c r="F18" s="273" t="s">
        <v>134</v>
      </c>
      <c r="G18" s="273" t="s">
        <v>452</v>
      </c>
      <c r="H18" s="275" t="s">
        <v>134</v>
      </c>
    </row>
    <row r="19" spans="1:8" ht="30" customHeight="1" x14ac:dyDescent="0.2">
      <c r="A19" s="411"/>
      <c r="B19" s="272">
        <v>4</v>
      </c>
      <c r="C19" s="268">
        <f>'Carga horaria'!E6</f>
        <v>4</v>
      </c>
      <c r="D19" s="269" t="str">
        <f>'Carga horaria'!D6</f>
        <v>Historia II</v>
      </c>
      <c r="E19" s="273" t="s">
        <v>448</v>
      </c>
      <c r="F19" s="273" t="s">
        <v>134</v>
      </c>
      <c r="G19" s="273" t="s">
        <v>449</v>
      </c>
      <c r="H19" s="275" t="s">
        <v>134</v>
      </c>
    </row>
    <row r="20" spans="1:8" ht="30" customHeight="1" x14ac:dyDescent="0.2">
      <c r="A20" s="411"/>
      <c r="B20" s="272">
        <v>5</v>
      </c>
      <c r="C20" s="268">
        <f>'Carga horaria'!E7</f>
        <v>2</v>
      </c>
      <c r="D20" s="269" t="str">
        <f>'Carga horaria'!D7</f>
        <v>FCE II</v>
      </c>
      <c r="E20" s="282" t="s">
        <v>444</v>
      </c>
      <c r="F20" s="274" t="s">
        <v>134</v>
      </c>
      <c r="G20" s="282" t="s">
        <v>444</v>
      </c>
      <c r="H20" s="275" t="s">
        <v>134</v>
      </c>
    </row>
    <row r="21" spans="1:8" ht="30" customHeight="1" x14ac:dyDescent="0.2">
      <c r="A21" s="411"/>
      <c r="B21" s="272">
        <v>6</v>
      </c>
      <c r="C21" s="268">
        <f>'Carga horaria'!E8</f>
        <v>3</v>
      </c>
      <c r="D21" s="269" t="str">
        <f>'Carga horaria'!D8</f>
        <v>Inglés II</v>
      </c>
      <c r="E21" s="273" t="s">
        <v>442</v>
      </c>
      <c r="F21" s="273" t="s">
        <v>134</v>
      </c>
      <c r="G21" s="273" t="s">
        <v>442</v>
      </c>
      <c r="H21" s="275" t="s">
        <v>134</v>
      </c>
    </row>
    <row r="22" spans="1:8" ht="30" customHeight="1" x14ac:dyDescent="0.2">
      <c r="A22" s="411"/>
      <c r="B22" s="272">
        <v>7</v>
      </c>
      <c r="C22" s="268">
        <f>'Carga horaria'!E9</f>
        <v>3</v>
      </c>
      <c r="D22" s="269" t="str">
        <f>'Carga horaria'!D9</f>
        <v>Artes II</v>
      </c>
      <c r="E22" s="273" t="s">
        <v>445</v>
      </c>
      <c r="F22" s="274" t="s">
        <v>134</v>
      </c>
      <c r="G22" s="273" t="s">
        <v>445</v>
      </c>
      <c r="H22" s="294" t="s">
        <v>134</v>
      </c>
    </row>
    <row r="23" spans="1:8" ht="30" customHeight="1" x14ac:dyDescent="0.2">
      <c r="A23" s="411"/>
      <c r="B23" s="272">
        <v>8</v>
      </c>
      <c r="C23" s="268">
        <f>'Carga horaria'!E10</f>
        <v>2</v>
      </c>
      <c r="D23" s="269" t="str">
        <f>'Carga horaria'!D10</f>
        <v>Educ. Física II</v>
      </c>
      <c r="E23" s="273" t="s">
        <v>451</v>
      </c>
      <c r="F23" s="273"/>
      <c r="G23" s="273" t="s">
        <v>451</v>
      </c>
      <c r="H23" s="275"/>
    </row>
    <row r="24" spans="1:8" ht="30" customHeight="1" x14ac:dyDescent="0.2">
      <c r="A24" s="411"/>
      <c r="B24" s="272">
        <v>9</v>
      </c>
      <c r="C24" s="268">
        <f>'Carga horaria'!E11</f>
        <v>1</v>
      </c>
      <c r="D24" s="269" t="str">
        <f>'Carga horaria'!D11</f>
        <v>Tutoría</v>
      </c>
      <c r="E24" s="273" t="s">
        <v>448</v>
      </c>
      <c r="F24" s="274" t="s">
        <v>134</v>
      </c>
      <c r="G24" s="273" t="s">
        <v>445</v>
      </c>
      <c r="H24" s="294" t="s">
        <v>134</v>
      </c>
    </row>
    <row r="25" spans="1:8" ht="30" customHeight="1" x14ac:dyDescent="0.2">
      <c r="A25" s="411"/>
      <c r="B25" s="283">
        <v>10</v>
      </c>
      <c r="C25" s="268">
        <f>'Carga horaria'!E12</f>
        <v>8</v>
      </c>
      <c r="D25" s="269" t="str">
        <f>'Carga horaria'!D12</f>
        <v>Tecnología</v>
      </c>
      <c r="E25" s="284" t="s">
        <v>444</v>
      </c>
      <c r="F25" s="284"/>
      <c r="G25" s="273" t="s">
        <v>450</v>
      </c>
      <c r="H25" s="285"/>
    </row>
    <row r="26" spans="1:8" ht="30" customHeight="1" thickBot="1" x14ac:dyDescent="0.25">
      <c r="A26" s="411"/>
      <c r="B26" s="283">
        <v>11</v>
      </c>
      <c r="C26" s="268">
        <f>'Carga horaria'!E13</f>
        <v>1</v>
      </c>
      <c r="D26" s="269" t="str">
        <f>'Carga horaria'!D13</f>
        <v>A. Curricular</v>
      </c>
      <c r="E26" s="284" t="s">
        <v>444</v>
      </c>
      <c r="F26" s="284"/>
      <c r="G26" s="320" t="s">
        <v>450</v>
      </c>
      <c r="H26" s="285"/>
    </row>
    <row r="27" spans="1:8" ht="30" customHeight="1" x14ac:dyDescent="0.2">
      <c r="A27" s="412" t="s">
        <v>327</v>
      </c>
      <c r="B27" s="286">
        <v>1</v>
      </c>
      <c r="C27" s="287">
        <f>'Carga horaria'!H3</f>
        <v>5</v>
      </c>
      <c r="D27" s="288" t="str">
        <f>'Carga horaria'!G3</f>
        <v>Español III</v>
      </c>
      <c r="E27" s="289" t="s">
        <v>453</v>
      </c>
      <c r="F27" s="290" t="s">
        <v>134</v>
      </c>
      <c r="G27" s="271"/>
      <c r="H27" s="295"/>
    </row>
    <row r="28" spans="1:8" ht="30" customHeight="1" x14ac:dyDescent="0.2">
      <c r="A28" s="413"/>
      <c r="B28" s="68">
        <v>2</v>
      </c>
      <c r="C28" s="323">
        <f>'Carga horaria'!H4</f>
        <v>5</v>
      </c>
      <c r="D28" s="324" t="str">
        <f>'Carga horaria'!G4</f>
        <v>Matemáticas III</v>
      </c>
      <c r="E28" s="273" t="s">
        <v>446</v>
      </c>
      <c r="F28" s="274" t="s">
        <v>134</v>
      </c>
      <c r="G28" s="273"/>
      <c r="H28" s="294"/>
    </row>
    <row r="29" spans="1:8" ht="30" customHeight="1" x14ac:dyDescent="0.2">
      <c r="A29" s="413"/>
      <c r="B29" s="68">
        <v>3</v>
      </c>
      <c r="C29" s="323">
        <f>'Carga horaria'!H5</f>
        <v>6</v>
      </c>
      <c r="D29" s="324" t="str">
        <f>'Carga horaria'!G5</f>
        <v>Ciencias III</v>
      </c>
      <c r="E29" s="274" t="s">
        <v>452</v>
      </c>
      <c r="F29" s="273" t="s">
        <v>134</v>
      </c>
      <c r="G29" s="274"/>
      <c r="H29" s="294"/>
    </row>
    <row r="30" spans="1:8" ht="30" customHeight="1" x14ac:dyDescent="0.2">
      <c r="A30" s="413"/>
      <c r="B30" s="68">
        <v>4</v>
      </c>
      <c r="C30" s="323">
        <f>'Carga horaria'!H6</f>
        <v>4</v>
      </c>
      <c r="D30" s="324" t="str">
        <f>'Carga horaria'!G6</f>
        <v>Historia III</v>
      </c>
      <c r="E30" s="273" t="s">
        <v>448</v>
      </c>
      <c r="F30" s="273" t="s">
        <v>134</v>
      </c>
      <c r="G30" s="273"/>
      <c r="H30" s="275"/>
    </row>
    <row r="31" spans="1:8" ht="30" customHeight="1" x14ac:dyDescent="0.2">
      <c r="A31" s="413"/>
      <c r="B31" s="68">
        <v>5</v>
      </c>
      <c r="C31" s="323">
        <f>'Carga horaria'!H7</f>
        <v>2</v>
      </c>
      <c r="D31" s="324" t="str">
        <f>'Carga horaria'!G7</f>
        <v>FCE III</v>
      </c>
      <c r="E31" s="273" t="s">
        <v>443</v>
      </c>
      <c r="F31" s="274" t="s">
        <v>134</v>
      </c>
      <c r="G31" s="273"/>
      <c r="H31" s="294"/>
    </row>
    <row r="32" spans="1:8" ht="30" customHeight="1" x14ac:dyDescent="0.2">
      <c r="A32" s="413"/>
      <c r="B32" s="68">
        <v>6</v>
      </c>
      <c r="C32" s="323">
        <f>'Carga horaria'!H8</f>
        <v>3</v>
      </c>
      <c r="D32" s="324" t="str">
        <f>'Carga horaria'!G8</f>
        <v>Inglés III</v>
      </c>
      <c r="E32" s="273" t="s">
        <v>442</v>
      </c>
      <c r="F32" s="273" t="s">
        <v>134</v>
      </c>
      <c r="G32" s="273"/>
      <c r="H32" s="275"/>
    </row>
    <row r="33" spans="1:8" ht="30" customHeight="1" x14ac:dyDescent="0.2">
      <c r="A33" s="413"/>
      <c r="B33" s="68">
        <v>7</v>
      </c>
      <c r="C33" s="323">
        <f>'Carga horaria'!H9</f>
        <v>2</v>
      </c>
      <c r="D33" s="324" t="str">
        <f>'Carga horaria'!G9</f>
        <v>Educ. Física III</v>
      </c>
      <c r="E33" s="273" t="s">
        <v>451</v>
      </c>
      <c r="F33" s="274" t="s">
        <v>135</v>
      </c>
      <c r="G33" s="274"/>
      <c r="H33" s="294"/>
    </row>
    <row r="34" spans="1:8" ht="30" customHeight="1" x14ac:dyDescent="0.2">
      <c r="A34" s="413"/>
      <c r="B34" s="68">
        <v>8</v>
      </c>
      <c r="C34" s="323">
        <f>'Carga horaria'!H10</f>
        <v>3</v>
      </c>
      <c r="D34" s="324" t="str">
        <f>'Carga horaria'!G10</f>
        <v>Artes III</v>
      </c>
      <c r="E34" s="273" t="s">
        <v>448</v>
      </c>
      <c r="F34" s="273"/>
      <c r="G34" s="273"/>
      <c r="H34" s="275"/>
    </row>
    <row r="35" spans="1:8" ht="30" customHeight="1" x14ac:dyDescent="0.2">
      <c r="A35" s="413"/>
      <c r="B35" s="68">
        <v>9</v>
      </c>
      <c r="C35" s="323">
        <f>'Carga horaria'!H11</f>
        <v>1</v>
      </c>
      <c r="D35" s="324" t="str">
        <f>'Carga horaria'!G11</f>
        <v>Tutoría</v>
      </c>
      <c r="E35" s="273" t="s">
        <v>443</v>
      </c>
      <c r="F35" s="273" t="s">
        <v>134</v>
      </c>
      <c r="G35" s="273"/>
      <c r="H35" s="275"/>
    </row>
    <row r="36" spans="1:8" ht="30" customHeight="1" x14ac:dyDescent="0.2">
      <c r="A36" s="413"/>
      <c r="B36" s="68">
        <v>10</v>
      </c>
      <c r="C36" s="323">
        <f>'Carga horaria'!H12</f>
        <v>8</v>
      </c>
      <c r="D36" s="324" t="str">
        <f>'Carga horaria'!G12</f>
        <v>Tecnología</v>
      </c>
      <c r="E36" s="273" t="s">
        <v>450</v>
      </c>
      <c r="F36" s="273" t="s">
        <v>134</v>
      </c>
      <c r="G36" s="273"/>
      <c r="H36" s="275"/>
    </row>
    <row r="37" spans="1:8" ht="30" customHeight="1" thickBot="1" x14ac:dyDescent="0.25">
      <c r="A37" s="414"/>
      <c r="B37" s="281">
        <v>11</v>
      </c>
      <c r="C37" s="277">
        <f>'Carga horaria'!H13</f>
        <v>1</v>
      </c>
      <c r="D37" s="278" t="str">
        <f>'Carga horaria'!G13</f>
        <v>A. Curricular</v>
      </c>
      <c r="E37" s="279" t="s">
        <v>450</v>
      </c>
      <c r="F37" s="279"/>
      <c r="G37" s="279"/>
      <c r="H37" s="280"/>
    </row>
  </sheetData>
  <mergeCells count="7">
    <mergeCell ref="A16:A26"/>
    <mergeCell ref="A27:A37"/>
    <mergeCell ref="E1:H1"/>
    <mergeCell ref="A2:C2"/>
    <mergeCell ref="A1:C1"/>
    <mergeCell ref="A3:A15"/>
    <mergeCell ref="C3:D3"/>
  </mergeCells>
  <dataValidations count="1">
    <dataValidation type="list" allowBlank="1" showInputMessage="1" showErrorMessage="1" sqref="A2:C2 G16:G26 E4:E37" xr:uid="{54FC9456-41CD-4516-977A-028052F5C5E7}">
      <formula1>ListaMaestros</formula1>
    </dataValidation>
  </dataValidations>
  <pageMargins left="0.7" right="0.7" top="0.75" bottom="0.75" header="0.3" footer="0.3"/>
  <pageSetup orientation="portrait" horizontalDpi="4294967293" verticalDpi="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C58D1EDE-BEF4-4293-97FA-8FC905413916}">
            <xm:f>NOT(ISERROR(SEARCH($A$2,E4)))</xm:f>
            <xm:f>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E4:E13 G16:G24 E15:E24 E26:E34 G26 E36:E37</xm:sqref>
        </x14:conditionalFormatting>
        <x14:conditionalFormatting xmlns:xm="http://schemas.microsoft.com/office/excel/2006/main">
          <x14:cfRule type="containsText" priority="3" operator="containsText" id="{A8E3D666-83F8-2648-947D-527401DDAC0F}">
            <xm:f>NOT(ISERROR(SEARCH($A$2,E14)))</xm:f>
            <xm:f>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containsText" priority="2" operator="containsText" id="{A73BD265-B050-1849-8EEA-B619FC3DBB30}">
            <xm:f>NOT(ISERROR(SEARCH($A$2,E25)))</xm:f>
            <xm:f>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E25 G25</xm:sqref>
        </x14:conditionalFormatting>
        <x14:conditionalFormatting xmlns:xm="http://schemas.microsoft.com/office/excel/2006/main">
          <x14:cfRule type="containsText" priority="1" operator="containsText" id="{5B92F46B-F3CA-5E46-A408-34D564838B81}">
            <xm:f>NOT(ISERROR(SEARCH($A$2,E35)))</xm:f>
            <xm:f>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E35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XFD51"/>
  <sheetViews>
    <sheetView showGridLines="0" zoomScale="139" zoomScaleNormal="140" zoomScalePageLayoutView="140" workbookViewId="0">
      <selection activeCell="G3" sqref="G3"/>
    </sheetView>
  </sheetViews>
  <sheetFormatPr baseColWidth="10" defaultRowHeight="15" x14ac:dyDescent="0.2"/>
  <cols>
    <col min="1" max="1" width="30.6640625" customWidth="1"/>
    <col min="2" max="2" width="8.6640625" customWidth="1"/>
    <col min="4" max="4" width="30.6640625" customWidth="1"/>
    <col min="5" max="5" width="8.6640625" customWidth="1"/>
    <col min="7" max="7" width="30.6640625" customWidth="1"/>
    <col min="8" max="8" width="8.6640625" customWidth="1"/>
  </cols>
  <sheetData>
    <row r="1" spans="1:1024 1026:2048 2050:3072 3074:4096 4098:5120 5122:6144 6146:7168 7170:8192 8194:9216 9218:10240 10242:11264 11266:12288 12290:13312 13314:14336 14338:15360 15362:16384" x14ac:dyDescent="0.2">
      <c r="A1" s="2" t="s">
        <v>14</v>
      </c>
      <c r="D1" s="2" t="s">
        <v>25</v>
      </c>
      <c r="G1" s="2" t="s">
        <v>34</v>
      </c>
    </row>
    <row r="2" spans="1:1024 1026:2048 2050:3072 3074:4096 4098:5120 5122:6144 6146:7168 7170:8192 8194:9216 9218:10240 10242:11264 11266:12288 12290:13312 13314:14336 14338:15360 15362:16384" ht="32" x14ac:dyDescent="0.2">
      <c r="A2" s="4" t="s">
        <v>15</v>
      </c>
      <c r="B2" s="4" t="s">
        <v>16</v>
      </c>
      <c r="C2" s="1"/>
      <c r="D2" s="4" t="s">
        <v>15</v>
      </c>
      <c r="E2" s="4" t="s">
        <v>16</v>
      </c>
      <c r="F2" s="1"/>
      <c r="G2" s="4" t="s">
        <v>15</v>
      </c>
      <c r="H2" s="4" t="s">
        <v>16</v>
      </c>
    </row>
    <row r="3" spans="1:1024 1026:2048 2050:3072 3074:4096 4098:5120 5122:6144 6146:7168 7170:8192 8194:9216 9218:10240 10242:11264 11266:12288 12290:13312 13314:14336 14338:15360 15362:16384" x14ac:dyDescent="0.2">
      <c r="A3" s="5" t="s">
        <v>19</v>
      </c>
      <c r="B3" s="6">
        <v>5</v>
      </c>
      <c r="D3" s="5" t="s">
        <v>26</v>
      </c>
      <c r="E3" s="6">
        <v>5</v>
      </c>
      <c r="G3" s="5" t="s">
        <v>35</v>
      </c>
      <c r="H3" s="6">
        <v>5</v>
      </c>
    </row>
    <row r="4" spans="1:1024 1026:2048 2050:3072 3074:4096 4098:5120 5122:6144 6146:7168 7170:8192 8194:9216 9218:10240 10242:11264 11266:12288 12290:13312 13314:14336 14338:15360 15362:16384" x14ac:dyDescent="0.2">
      <c r="A4" s="5" t="s">
        <v>20</v>
      </c>
      <c r="B4" s="6">
        <v>5</v>
      </c>
      <c r="D4" s="5" t="s">
        <v>27</v>
      </c>
      <c r="E4" s="6">
        <v>5</v>
      </c>
      <c r="G4" s="5" t="s">
        <v>36</v>
      </c>
      <c r="H4" s="6">
        <v>5</v>
      </c>
    </row>
    <row r="5" spans="1:1024 1026:2048 2050:3072 3074:4096 4098:5120 5122:6144 6146:7168 7170:8192 8194:9216 9218:10240 10242:11264 11266:12288 12290:13312 13314:14336 14338:15360 15362:16384" x14ac:dyDescent="0.2">
      <c r="A5" s="5" t="s">
        <v>43</v>
      </c>
      <c r="B5" s="6">
        <v>4</v>
      </c>
      <c r="D5" s="5" t="s">
        <v>58</v>
      </c>
      <c r="E5" s="6">
        <v>6</v>
      </c>
      <c r="G5" s="5" t="s">
        <v>59</v>
      </c>
      <c r="H5" s="6">
        <v>6</v>
      </c>
    </row>
    <row r="6" spans="1:1024 1026:2048 2050:3072 3074:4096 4098:5120 5122:6144 6146:7168 7170:8192 8194:9216 9218:10240 10242:11264 11266:12288 12290:13312 13314:14336 14338:15360 15362:16384" x14ac:dyDescent="0.2">
      <c r="A6" s="5" t="s">
        <v>28</v>
      </c>
      <c r="B6" s="6">
        <v>2</v>
      </c>
      <c r="D6" s="5" t="s">
        <v>37</v>
      </c>
      <c r="E6" s="6">
        <v>4</v>
      </c>
      <c r="G6" s="5" t="s">
        <v>300</v>
      </c>
      <c r="H6" s="6">
        <v>4</v>
      </c>
    </row>
    <row r="7" spans="1:1024 1026:2048 2050:3072 3074:4096 4098:5120 5122:6144 6146:7168 7170:8192 8194:9216 9218:10240 10242:11264 11266:12288 12290:13312 13314:14336 14338:15360 15362:16384" x14ac:dyDescent="0.2">
      <c r="A7" s="5" t="s">
        <v>292</v>
      </c>
      <c r="B7" s="6">
        <v>2</v>
      </c>
      <c r="D7" s="5" t="s">
        <v>503</v>
      </c>
      <c r="E7" s="6">
        <v>2</v>
      </c>
      <c r="G7" s="5" t="s">
        <v>301</v>
      </c>
      <c r="H7" s="6">
        <v>2</v>
      </c>
    </row>
    <row r="8" spans="1:1024 1026:2048 2050:3072 3074:4096 4098:5120 5122:6144 6146:7168 7170:8192 8194:9216 9218:10240 10242:11264 11266:12288 12290:13312 13314:14336 14338:15360 15362:16384" x14ac:dyDescent="0.2">
      <c r="A8" s="5" t="s">
        <v>44</v>
      </c>
      <c r="B8" s="6">
        <v>4</v>
      </c>
      <c r="D8" s="5" t="s">
        <v>287</v>
      </c>
      <c r="E8" s="6">
        <v>3</v>
      </c>
      <c r="G8" s="5" t="s">
        <v>286</v>
      </c>
      <c r="H8" s="6">
        <v>3</v>
      </c>
    </row>
    <row r="9" spans="1:1024 1026:2048 2050:3072 3074:4096 4098:5120 5122:6144 6146:7168 7170:8192 8194:9216 9218:10240 10242:11264 11266:12288 12290:13312 13314:14336 14338:15360 15362:16384" x14ac:dyDescent="0.2">
      <c r="A9" s="5" t="s">
        <v>285</v>
      </c>
      <c r="B9" s="6">
        <v>3</v>
      </c>
      <c r="D9" s="5" t="s">
        <v>50</v>
      </c>
      <c r="E9" s="6">
        <v>3</v>
      </c>
      <c r="G9" s="5" t="s">
        <v>290</v>
      </c>
      <c r="H9" s="6">
        <v>2</v>
      </c>
    </row>
    <row r="10" spans="1:1024 1026:2048 2050:3072 3074:4096 4098:5120 5122:6144 6146:7168 7170:8192 8194:9216 9218:10240 10242:11264 11266:12288 12290:13312 13314:14336 14338:15360 15362:16384" x14ac:dyDescent="0.2">
      <c r="A10" s="5" t="s">
        <v>288</v>
      </c>
      <c r="B10" s="6">
        <v>2</v>
      </c>
      <c r="D10" s="5" t="s">
        <v>289</v>
      </c>
      <c r="E10" s="6">
        <v>2</v>
      </c>
      <c r="G10" s="5" t="s">
        <v>51</v>
      </c>
      <c r="H10" s="6">
        <v>3</v>
      </c>
    </row>
    <row r="11" spans="1:1024 1026:2048 2050:3072 3074:4096 4098:5120 5122:6144 6146:7168 7170:8192 8194:9216 9218:10240 10242:11264 11266:12288 12290:13312 13314:14336 14338:15360 15362:16384" x14ac:dyDescent="0.2">
      <c r="A11" s="5" t="s">
        <v>49</v>
      </c>
      <c r="B11" s="6">
        <v>3</v>
      </c>
      <c r="D11" s="5" t="s">
        <v>57</v>
      </c>
      <c r="E11" s="6">
        <v>1</v>
      </c>
      <c r="G11" s="5" t="s">
        <v>57</v>
      </c>
      <c r="H11" s="6">
        <v>1</v>
      </c>
    </row>
    <row r="12" spans="1:1024 1026:2048 2050:3072 3074:4096 4098:5120 5122:6144 6146:7168 7170:8192 8194:9216 9218:10240 10242:11264 11266:12288 12290:13312 13314:14336 14338:15360 15362:16384" x14ac:dyDescent="0.2">
      <c r="A12" s="5" t="s">
        <v>57</v>
      </c>
      <c r="B12" s="6">
        <v>1</v>
      </c>
      <c r="D12" s="8" t="s">
        <v>389</v>
      </c>
      <c r="E12" s="6">
        <v>8</v>
      </c>
      <c r="G12" s="5" t="s">
        <v>389</v>
      </c>
      <c r="H12" s="6">
        <v>8</v>
      </c>
    </row>
    <row r="13" spans="1:1024 1026:2048 2050:3072 3074:4096 4098:5120 5122:6144 6146:7168 7170:8192 8194:9216 9218:10240 10242:11264 11266:12288 12290:13312 13314:14336 14338:15360 15362:16384" s="7" customFormat="1" x14ac:dyDescent="0.2">
      <c r="A13" s="5" t="s">
        <v>389</v>
      </c>
      <c r="B13" s="6">
        <v>8</v>
      </c>
      <c r="C13" s="325"/>
      <c r="D13" s="5" t="s">
        <v>479</v>
      </c>
      <c r="E13" s="6">
        <v>1</v>
      </c>
      <c r="F13" s="326"/>
      <c r="G13" s="5" t="s">
        <v>479</v>
      </c>
      <c r="H13" s="6">
        <v>1</v>
      </c>
      <c r="I13" s="327"/>
      <c r="J13" s="328"/>
      <c r="L13" s="328"/>
      <c r="N13" s="328"/>
      <c r="P13" s="328"/>
      <c r="R13" s="328"/>
      <c r="T13" s="328"/>
      <c r="V13" s="328"/>
      <c r="X13" s="328"/>
      <c r="Z13" s="328"/>
      <c r="AB13" s="328"/>
      <c r="AD13" s="328"/>
      <c r="AF13" s="328"/>
      <c r="AH13" s="328"/>
      <c r="AJ13" s="328"/>
      <c r="AL13" s="328"/>
      <c r="AN13" s="328"/>
      <c r="AP13" s="328"/>
      <c r="AR13" s="328"/>
      <c r="AT13" s="328"/>
      <c r="AV13" s="328"/>
      <c r="AX13" s="328"/>
      <c r="AZ13" s="328"/>
      <c r="BB13" s="328"/>
      <c r="BD13" s="328"/>
      <c r="BF13" s="328"/>
      <c r="BH13" s="328"/>
      <c r="BJ13" s="328"/>
      <c r="BL13" s="328"/>
      <c r="BN13" s="328"/>
      <c r="BP13" s="328"/>
      <c r="BR13" s="328"/>
      <c r="BT13" s="328"/>
      <c r="BV13" s="328"/>
      <c r="BX13" s="328"/>
      <c r="BZ13" s="328"/>
      <c r="CB13" s="328"/>
      <c r="CD13" s="328"/>
      <c r="CF13" s="328"/>
      <c r="CH13" s="328"/>
      <c r="CJ13" s="328"/>
      <c r="CL13" s="328"/>
      <c r="CN13" s="328"/>
      <c r="CP13" s="328"/>
      <c r="CR13" s="328"/>
      <c r="CT13" s="328"/>
      <c r="CV13" s="328"/>
      <c r="CX13" s="328"/>
      <c r="CZ13" s="328"/>
      <c r="DB13" s="328"/>
      <c r="DD13" s="328"/>
      <c r="DF13" s="328"/>
      <c r="DH13" s="328"/>
      <c r="DJ13" s="328"/>
      <c r="DL13" s="328"/>
      <c r="DN13" s="328"/>
      <c r="DP13" s="328"/>
      <c r="DR13" s="328"/>
      <c r="DT13" s="328"/>
      <c r="DV13" s="328"/>
      <c r="DX13" s="328"/>
      <c r="DZ13" s="328"/>
      <c r="EB13" s="328"/>
      <c r="ED13" s="328"/>
      <c r="EF13" s="328"/>
      <c r="EH13" s="328"/>
      <c r="EJ13" s="328"/>
      <c r="EL13" s="328"/>
      <c r="EN13" s="328"/>
      <c r="EP13" s="328"/>
      <c r="ER13" s="328"/>
      <c r="ET13" s="328"/>
      <c r="EV13" s="328"/>
      <c r="EX13" s="328"/>
      <c r="EZ13" s="328"/>
      <c r="FB13" s="328"/>
      <c r="FD13" s="328"/>
      <c r="FF13" s="328"/>
      <c r="FH13" s="328"/>
      <c r="FJ13" s="328"/>
      <c r="FL13" s="328"/>
      <c r="FN13" s="328"/>
      <c r="FP13" s="328"/>
      <c r="FR13" s="328"/>
      <c r="FT13" s="328"/>
      <c r="FV13" s="328"/>
      <c r="FX13" s="328"/>
      <c r="FZ13" s="328"/>
      <c r="GB13" s="328"/>
      <c r="GD13" s="328"/>
      <c r="GF13" s="328"/>
      <c r="GH13" s="328"/>
      <c r="GJ13" s="328"/>
      <c r="GL13" s="328"/>
      <c r="GN13" s="328"/>
      <c r="GP13" s="328"/>
      <c r="GR13" s="328"/>
      <c r="GT13" s="328"/>
      <c r="GV13" s="328"/>
      <c r="GX13" s="328"/>
      <c r="GZ13" s="328"/>
      <c r="HB13" s="328"/>
      <c r="HD13" s="328"/>
      <c r="HF13" s="328"/>
      <c r="HH13" s="328"/>
      <c r="HJ13" s="328"/>
      <c r="HL13" s="328"/>
      <c r="HN13" s="328"/>
      <c r="HP13" s="328"/>
      <c r="HR13" s="328"/>
      <c r="HT13" s="328"/>
      <c r="HV13" s="328"/>
      <c r="HX13" s="328"/>
      <c r="HZ13" s="328"/>
      <c r="IB13" s="328"/>
      <c r="ID13" s="328"/>
      <c r="IF13" s="328"/>
      <c r="IH13" s="328"/>
      <c r="IJ13" s="328"/>
      <c r="IL13" s="328"/>
      <c r="IN13" s="328"/>
      <c r="IP13" s="328"/>
      <c r="IR13" s="328"/>
      <c r="IT13" s="328"/>
      <c r="IV13" s="328"/>
      <c r="IX13" s="328"/>
      <c r="IZ13" s="328"/>
      <c r="JB13" s="328"/>
      <c r="JD13" s="328"/>
      <c r="JF13" s="328"/>
      <c r="JH13" s="328"/>
      <c r="JJ13" s="328"/>
      <c r="JL13" s="328"/>
      <c r="JN13" s="328"/>
      <c r="JP13" s="328"/>
      <c r="JR13" s="328"/>
      <c r="JT13" s="328"/>
      <c r="JV13" s="328"/>
      <c r="JX13" s="328"/>
      <c r="JZ13" s="328"/>
      <c r="KB13" s="328"/>
      <c r="KD13" s="328"/>
      <c r="KF13" s="328"/>
      <c r="KH13" s="328"/>
      <c r="KJ13" s="328"/>
      <c r="KL13" s="328"/>
      <c r="KN13" s="328"/>
      <c r="KP13" s="328"/>
      <c r="KR13" s="328"/>
      <c r="KT13" s="328"/>
      <c r="KV13" s="328"/>
      <c r="KX13" s="328"/>
      <c r="KZ13" s="328"/>
      <c r="LB13" s="328"/>
      <c r="LD13" s="328"/>
      <c r="LF13" s="328"/>
      <c r="LH13" s="328"/>
      <c r="LJ13" s="328"/>
      <c r="LL13" s="328"/>
      <c r="LN13" s="328"/>
      <c r="LP13" s="328"/>
      <c r="LR13" s="328"/>
      <c r="LT13" s="328"/>
      <c r="LV13" s="328"/>
      <c r="LX13" s="328"/>
      <c r="LZ13" s="328"/>
      <c r="MB13" s="328"/>
      <c r="MD13" s="328"/>
      <c r="MF13" s="328"/>
      <c r="MH13" s="328"/>
      <c r="MJ13" s="328"/>
      <c r="ML13" s="328"/>
      <c r="MN13" s="328"/>
      <c r="MP13" s="328"/>
      <c r="MR13" s="328"/>
      <c r="MT13" s="328"/>
      <c r="MV13" s="328"/>
      <c r="MX13" s="328"/>
      <c r="MZ13" s="328"/>
      <c r="NB13" s="328"/>
      <c r="ND13" s="328"/>
      <c r="NF13" s="328"/>
      <c r="NH13" s="328"/>
      <c r="NJ13" s="328"/>
      <c r="NL13" s="328"/>
      <c r="NN13" s="328"/>
      <c r="NP13" s="328"/>
      <c r="NR13" s="328"/>
      <c r="NT13" s="328"/>
      <c r="NV13" s="328"/>
      <c r="NX13" s="328"/>
      <c r="NZ13" s="328"/>
      <c r="OB13" s="328"/>
      <c r="OD13" s="328"/>
      <c r="OF13" s="328"/>
      <c r="OH13" s="328"/>
      <c r="OJ13" s="328"/>
      <c r="OL13" s="328"/>
      <c r="ON13" s="328"/>
      <c r="OP13" s="328"/>
      <c r="OR13" s="328"/>
      <c r="OT13" s="328"/>
      <c r="OV13" s="328"/>
      <c r="OX13" s="328"/>
      <c r="OZ13" s="328"/>
      <c r="PB13" s="328"/>
      <c r="PD13" s="328"/>
      <c r="PF13" s="328"/>
      <c r="PH13" s="328"/>
      <c r="PJ13" s="328"/>
      <c r="PL13" s="328"/>
      <c r="PN13" s="328"/>
      <c r="PP13" s="328"/>
      <c r="PR13" s="328"/>
      <c r="PT13" s="328"/>
      <c r="PV13" s="328"/>
      <c r="PX13" s="328"/>
      <c r="PZ13" s="328"/>
      <c r="QB13" s="328"/>
      <c r="QD13" s="328"/>
      <c r="QF13" s="328"/>
      <c r="QH13" s="328"/>
      <c r="QJ13" s="328"/>
      <c r="QL13" s="328"/>
      <c r="QN13" s="328"/>
      <c r="QP13" s="328"/>
      <c r="QR13" s="328"/>
      <c r="QT13" s="328"/>
      <c r="QV13" s="328"/>
      <c r="QX13" s="328"/>
      <c r="QZ13" s="328"/>
      <c r="RB13" s="328"/>
      <c r="RD13" s="328"/>
      <c r="RF13" s="328"/>
      <c r="RH13" s="328"/>
      <c r="RJ13" s="328"/>
      <c r="RL13" s="328"/>
      <c r="RN13" s="328"/>
      <c r="RP13" s="328"/>
      <c r="RR13" s="328"/>
      <c r="RT13" s="328"/>
      <c r="RV13" s="328"/>
      <c r="RX13" s="328"/>
      <c r="RZ13" s="328"/>
      <c r="SB13" s="328"/>
      <c r="SD13" s="328"/>
      <c r="SF13" s="328"/>
      <c r="SH13" s="328"/>
      <c r="SJ13" s="328"/>
      <c r="SL13" s="328"/>
      <c r="SN13" s="328"/>
      <c r="SP13" s="328"/>
      <c r="SR13" s="328"/>
      <c r="ST13" s="328"/>
      <c r="SV13" s="328"/>
      <c r="SX13" s="328"/>
      <c r="SZ13" s="328"/>
      <c r="TB13" s="328"/>
      <c r="TD13" s="328"/>
      <c r="TF13" s="328"/>
      <c r="TH13" s="328"/>
      <c r="TJ13" s="328"/>
      <c r="TL13" s="328"/>
      <c r="TN13" s="328"/>
      <c r="TP13" s="328"/>
      <c r="TR13" s="328"/>
      <c r="TT13" s="328"/>
      <c r="TV13" s="328"/>
      <c r="TX13" s="328"/>
      <c r="TZ13" s="328"/>
      <c r="UB13" s="328"/>
      <c r="UD13" s="328"/>
      <c r="UF13" s="328"/>
      <c r="UH13" s="328"/>
      <c r="UJ13" s="328"/>
      <c r="UL13" s="328"/>
      <c r="UN13" s="328"/>
      <c r="UP13" s="328"/>
      <c r="UR13" s="328"/>
      <c r="UT13" s="328"/>
      <c r="UV13" s="328"/>
      <c r="UX13" s="328"/>
      <c r="UZ13" s="328"/>
      <c r="VB13" s="328"/>
      <c r="VD13" s="328"/>
      <c r="VF13" s="328"/>
      <c r="VH13" s="328"/>
      <c r="VJ13" s="328"/>
      <c r="VL13" s="328"/>
      <c r="VN13" s="328"/>
      <c r="VP13" s="328"/>
      <c r="VR13" s="328"/>
      <c r="VT13" s="328"/>
      <c r="VV13" s="328"/>
      <c r="VX13" s="328"/>
      <c r="VZ13" s="328"/>
      <c r="WB13" s="328"/>
      <c r="WD13" s="328"/>
      <c r="WF13" s="328"/>
      <c r="WH13" s="328"/>
      <c r="WJ13" s="328"/>
      <c r="WL13" s="328"/>
      <c r="WN13" s="328"/>
      <c r="WP13" s="328"/>
      <c r="WR13" s="328"/>
      <c r="WT13" s="328"/>
      <c r="WV13" s="328"/>
      <c r="WX13" s="328"/>
      <c r="WZ13" s="328"/>
      <c r="XB13" s="328"/>
      <c r="XD13" s="328"/>
      <c r="XF13" s="328"/>
      <c r="XH13" s="328"/>
      <c r="XJ13" s="328"/>
      <c r="XL13" s="328"/>
      <c r="XN13" s="328"/>
      <c r="XP13" s="328"/>
      <c r="XR13" s="328"/>
      <c r="XT13" s="328"/>
      <c r="XV13" s="328"/>
      <c r="XX13" s="328"/>
      <c r="XZ13" s="328"/>
      <c r="YB13" s="328"/>
      <c r="YD13" s="328"/>
      <c r="YF13" s="328"/>
      <c r="YH13" s="328"/>
      <c r="YJ13" s="328"/>
      <c r="YL13" s="328"/>
      <c r="YN13" s="328"/>
      <c r="YP13" s="328"/>
      <c r="YR13" s="328"/>
      <c r="YT13" s="328"/>
      <c r="YV13" s="328"/>
      <c r="YX13" s="328"/>
      <c r="YZ13" s="328"/>
      <c r="ZB13" s="328"/>
      <c r="ZD13" s="328"/>
      <c r="ZF13" s="328"/>
      <c r="ZH13" s="328"/>
      <c r="ZJ13" s="328"/>
      <c r="ZL13" s="328"/>
      <c r="ZN13" s="328"/>
      <c r="ZP13" s="328"/>
      <c r="ZR13" s="328"/>
      <c r="ZT13" s="328"/>
      <c r="ZV13" s="328"/>
      <c r="ZX13" s="328"/>
      <c r="ZZ13" s="328"/>
      <c r="AAB13" s="328"/>
      <c r="AAD13" s="328"/>
      <c r="AAF13" s="328"/>
      <c r="AAH13" s="328"/>
      <c r="AAJ13" s="328"/>
      <c r="AAL13" s="328"/>
      <c r="AAN13" s="328"/>
      <c r="AAP13" s="328"/>
      <c r="AAR13" s="328"/>
      <c r="AAT13" s="328"/>
      <c r="AAV13" s="328"/>
      <c r="AAX13" s="328"/>
      <c r="AAZ13" s="328"/>
      <c r="ABB13" s="328"/>
      <c r="ABD13" s="328"/>
      <c r="ABF13" s="328"/>
      <c r="ABH13" s="328"/>
      <c r="ABJ13" s="328"/>
      <c r="ABL13" s="328"/>
      <c r="ABN13" s="328"/>
      <c r="ABP13" s="328"/>
      <c r="ABR13" s="328"/>
      <c r="ABT13" s="328"/>
      <c r="ABV13" s="328"/>
      <c r="ABX13" s="328"/>
      <c r="ABZ13" s="328"/>
      <c r="ACB13" s="328"/>
      <c r="ACD13" s="328"/>
      <c r="ACF13" s="328"/>
      <c r="ACH13" s="328"/>
      <c r="ACJ13" s="328"/>
      <c r="ACL13" s="328"/>
      <c r="ACN13" s="328"/>
      <c r="ACP13" s="328"/>
      <c r="ACR13" s="328"/>
      <c r="ACT13" s="328"/>
      <c r="ACV13" s="328"/>
      <c r="ACX13" s="328"/>
      <c r="ACZ13" s="328"/>
      <c r="ADB13" s="328"/>
      <c r="ADD13" s="328"/>
      <c r="ADF13" s="328"/>
      <c r="ADH13" s="328"/>
      <c r="ADJ13" s="328"/>
      <c r="ADL13" s="328"/>
      <c r="ADN13" s="328"/>
      <c r="ADP13" s="328"/>
      <c r="ADR13" s="328"/>
      <c r="ADT13" s="328"/>
      <c r="ADV13" s="328"/>
      <c r="ADX13" s="328"/>
      <c r="ADZ13" s="328"/>
      <c r="AEB13" s="328"/>
      <c r="AED13" s="328"/>
      <c r="AEF13" s="328"/>
      <c r="AEH13" s="328"/>
      <c r="AEJ13" s="328"/>
      <c r="AEL13" s="328"/>
      <c r="AEN13" s="328"/>
      <c r="AEP13" s="328"/>
      <c r="AER13" s="328"/>
      <c r="AET13" s="328"/>
      <c r="AEV13" s="328"/>
      <c r="AEX13" s="328"/>
      <c r="AEZ13" s="328"/>
      <c r="AFB13" s="328"/>
      <c r="AFD13" s="328"/>
      <c r="AFF13" s="328"/>
      <c r="AFH13" s="328"/>
      <c r="AFJ13" s="328"/>
      <c r="AFL13" s="328"/>
      <c r="AFN13" s="328"/>
      <c r="AFP13" s="328"/>
      <c r="AFR13" s="328"/>
      <c r="AFT13" s="328"/>
      <c r="AFV13" s="328"/>
      <c r="AFX13" s="328"/>
      <c r="AFZ13" s="328"/>
      <c r="AGB13" s="328"/>
      <c r="AGD13" s="328"/>
      <c r="AGF13" s="328"/>
      <c r="AGH13" s="328"/>
      <c r="AGJ13" s="328"/>
      <c r="AGL13" s="328"/>
      <c r="AGN13" s="328"/>
      <c r="AGP13" s="328"/>
      <c r="AGR13" s="328"/>
      <c r="AGT13" s="328"/>
      <c r="AGV13" s="328"/>
      <c r="AGX13" s="328"/>
      <c r="AGZ13" s="328"/>
      <c r="AHB13" s="328"/>
      <c r="AHD13" s="328"/>
      <c r="AHF13" s="328"/>
      <c r="AHH13" s="328"/>
      <c r="AHJ13" s="328"/>
      <c r="AHL13" s="328"/>
      <c r="AHN13" s="328"/>
      <c r="AHP13" s="328"/>
      <c r="AHR13" s="328"/>
      <c r="AHT13" s="328"/>
      <c r="AHV13" s="328"/>
      <c r="AHX13" s="328"/>
      <c r="AHZ13" s="328"/>
      <c r="AIB13" s="328"/>
      <c r="AID13" s="328"/>
      <c r="AIF13" s="328"/>
      <c r="AIH13" s="328"/>
      <c r="AIJ13" s="328"/>
      <c r="AIL13" s="328"/>
      <c r="AIN13" s="328"/>
      <c r="AIP13" s="328"/>
      <c r="AIR13" s="328"/>
      <c r="AIT13" s="328"/>
      <c r="AIV13" s="328"/>
      <c r="AIX13" s="328"/>
      <c r="AIZ13" s="328"/>
      <c r="AJB13" s="328"/>
      <c r="AJD13" s="328"/>
      <c r="AJF13" s="328"/>
      <c r="AJH13" s="328"/>
      <c r="AJJ13" s="328"/>
      <c r="AJL13" s="328"/>
      <c r="AJN13" s="328"/>
      <c r="AJP13" s="328"/>
      <c r="AJR13" s="328"/>
      <c r="AJT13" s="328"/>
      <c r="AJV13" s="328"/>
      <c r="AJX13" s="328"/>
      <c r="AJZ13" s="328"/>
      <c r="AKB13" s="328"/>
      <c r="AKD13" s="328"/>
      <c r="AKF13" s="328"/>
      <c r="AKH13" s="328"/>
      <c r="AKJ13" s="328"/>
      <c r="AKL13" s="328"/>
      <c r="AKN13" s="328"/>
      <c r="AKP13" s="328"/>
      <c r="AKR13" s="328"/>
      <c r="AKT13" s="328"/>
      <c r="AKV13" s="328"/>
      <c r="AKX13" s="328"/>
      <c r="AKZ13" s="328"/>
      <c r="ALB13" s="328"/>
      <c r="ALD13" s="328"/>
      <c r="ALF13" s="328"/>
      <c r="ALH13" s="328"/>
      <c r="ALJ13" s="328"/>
      <c r="ALL13" s="328"/>
      <c r="ALN13" s="328"/>
      <c r="ALP13" s="328"/>
      <c r="ALR13" s="328"/>
      <c r="ALT13" s="328"/>
      <c r="ALV13" s="328"/>
      <c r="ALX13" s="328"/>
      <c r="ALZ13" s="328"/>
      <c r="AMB13" s="328"/>
      <c r="AMD13" s="328"/>
      <c r="AMF13" s="328"/>
      <c r="AMH13" s="328"/>
      <c r="AMJ13" s="328"/>
      <c r="AML13" s="328"/>
      <c r="AMN13" s="328"/>
      <c r="AMP13" s="328"/>
      <c r="AMR13" s="328"/>
      <c r="AMT13" s="328"/>
      <c r="AMV13" s="328"/>
      <c r="AMX13" s="328"/>
      <c r="AMZ13" s="328"/>
      <c r="ANB13" s="328"/>
      <c r="AND13" s="328"/>
      <c r="ANF13" s="328"/>
      <c r="ANH13" s="328"/>
      <c r="ANJ13" s="328"/>
      <c r="ANL13" s="328"/>
      <c r="ANN13" s="328"/>
      <c r="ANP13" s="328"/>
      <c r="ANR13" s="328"/>
      <c r="ANT13" s="328"/>
      <c r="ANV13" s="328"/>
      <c r="ANX13" s="328"/>
      <c r="ANZ13" s="328"/>
      <c r="AOB13" s="328"/>
      <c r="AOD13" s="328"/>
      <c r="AOF13" s="328"/>
      <c r="AOH13" s="328"/>
      <c r="AOJ13" s="328"/>
      <c r="AOL13" s="328"/>
      <c r="AON13" s="328"/>
      <c r="AOP13" s="328"/>
      <c r="AOR13" s="328"/>
      <c r="AOT13" s="328"/>
      <c r="AOV13" s="328"/>
      <c r="AOX13" s="328"/>
      <c r="AOZ13" s="328"/>
      <c r="APB13" s="328"/>
      <c r="APD13" s="328"/>
      <c r="APF13" s="328"/>
      <c r="APH13" s="328"/>
      <c r="APJ13" s="328"/>
      <c r="APL13" s="328"/>
      <c r="APN13" s="328"/>
      <c r="APP13" s="328"/>
      <c r="APR13" s="328"/>
      <c r="APT13" s="328"/>
      <c r="APV13" s="328"/>
      <c r="APX13" s="328"/>
      <c r="APZ13" s="328"/>
      <c r="AQB13" s="328"/>
      <c r="AQD13" s="328"/>
      <c r="AQF13" s="328"/>
      <c r="AQH13" s="328"/>
      <c r="AQJ13" s="328"/>
      <c r="AQL13" s="328"/>
      <c r="AQN13" s="328"/>
      <c r="AQP13" s="328"/>
      <c r="AQR13" s="328"/>
      <c r="AQT13" s="328"/>
      <c r="AQV13" s="328"/>
      <c r="AQX13" s="328"/>
      <c r="AQZ13" s="328"/>
      <c r="ARB13" s="328"/>
      <c r="ARD13" s="328"/>
      <c r="ARF13" s="328"/>
      <c r="ARH13" s="328"/>
      <c r="ARJ13" s="328"/>
      <c r="ARL13" s="328"/>
      <c r="ARN13" s="328"/>
      <c r="ARP13" s="328"/>
      <c r="ARR13" s="328"/>
      <c r="ART13" s="328"/>
      <c r="ARV13" s="328"/>
      <c r="ARX13" s="328"/>
      <c r="ARZ13" s="328"/>
      <c r="ASB13" s="328"/>
      <c r="ASD13" s="328"/>
      <c r="ASF13" s="328"/>
      <c r="ASH13" s="328"/>
      <c r="ASJ13" s="328"/>
      <c r="ASL13" s="328"/>
      <c r="ASN13" s="328"/>
      <c r="ASP13" s="328"/>
      <c r="ASR13" s="328"/>
      <c r="AST13" s="328"/>
      <c r="ASV13" s="328"/>
      <c r="ASX13" s="328"/>
      <c r="ASZ13" s="328"/>
      <c r="ATB13" s="328"/>
      <c r="ATD13" s="328"/>
      <c r="ATF13" s="328"/>
      <c r="ATH13" s="328"/>
      <c r="ATJ13" s="328"/>
      <c r="ATL13" s="328"/>
      <c r="ATN13" s="328"/>
      <c r="ATP13" s="328"/>
      <c r="ATR13" s="328"/>
      <c r="ATT13" s="328"/>
      <c r="ATV13" s="328"/>
      <c r="ATX13" s="328"/>
      <c r="ATZ13" s="328"/>
      <c r="AUB13" s="328"/>
      <c r="AUD13" s="328"/>
      <c r="AUF13" s="328"/>
      <c r="AUH13" s="328"/>
      <c r="AUJ13" s="328"/>
      <c r="AUL13" s="328"/>
      <c r="AUN13" s="328"/>
      <c r="AUP13" s="328"/>
      <c r="AUR13" s="328"/>
      <c r="AUT13" s="328"/>
      <c r="AUV13" s="328"/>
      <c r="AUX13" s="328"/>
      <c r="AUZ13" s="328"/>
      <c r="AVB13" s="328"/>
      <c r="AVD13" s="328"/>
      <c r="AVF13" s="328"/>
      <c r="AVH13" s="328"/>
      <c r="AVJ13" s="328"/>
      <c r="AVL13" s="328"/>
      <c r="AVN13" s="328"/>
      <c r="AVP13" s="328"/>
      <c r="AVR13" s="328"/>
      <c r="AVT13" s="328"/>
      <c r="AVV13" s="328"/>
      <c r="AVX13" s="328"/>
      <c r="AVZ13" s="328"/>
      <c r="AWB13" s="328"/>
      <c r="AWD13" s="328"/>
      <c r="AWF13" s="328"/>
      <c r="AWH13" s="328"/>
      <c r="AWJ13" s="328"/>
      <c r="AWL13" s="328"/>
      <c r="AWN13" s="328"/>
      <c r="AWP13" s="328"/>
      <c r="AWR13" s="328"/>
      <c r="AWT13" s="328"/>
      <c r="AWV13" s="328"/>
      <c r="AWX13" s="328"/>
      <c r="AWZ13" s="328"/>
      <c r="AXB13" s="328"/>
      <c r="AXD13" s="328"/>
      <c r="AXF13" s="328"/>
      <c r="AXH13" s="328"/>
      <c r="AXJ13" s="328"/>
      <c r="AXL13" s="328"/>
      <c r="AXN13" s="328"/>
      <c r="AXP13" s="328"/>
      <c r="AXR13" s="328"/>
      <c r="AXT13" s="328"/>
      <c r="AXV13" s="328"/>
      <c r="AXX13" s="328"/>
      <c r="AXZ13" s="328"/>
      <c r="AYB13" s="328"/>
      <c r="AYD13" s="328"/>
      <c r="AYF13" s="328"/>
      <c r="AYH13" s="328"/>
      <c r="AYJ13" s="328"/>
      <c r="AYL13" s="328"/>
      <c r="AYN13" s="328"/>
      <c r="AYP13" s="328"/>
      <c r="AYR13" s="328"/>
      <c r="AYT13" s="328"/>
      <c r="AYV13" s="328"/>
      <c r="AYX13" s="328"/>
      <c r="AYZ13" s="328"/>
      <c r="AZB13" s="328"/>
      <c r="AZD13" s="328"/>
      <c r="AZF13" s="328"/>
      <c r="AZH13" s="328"/>
      <c r="AZJ13" s="328"/>
      <c r="AZL13" s="328"/>
      <c r="AZN13" s="328"/>
      <c r="AZP13" s="328"/>
      <c r="AZR13" s="328"/>
      <c r="AZT13" s="328"/>
      <c r="AZV13" s="328"/>
      <c r="AZX13" s="328"/>
      <c r="AZZ13" s="328"/>
      <c r="BAB13" s="328"/>
      <c r="BAD13" s="328"/>
      <c r="BAF13" s="328"/>
      <c r="BAH13" s="328"/>
      <c r="BAJ13" s="328"/>
      <c r="BAL13" s="328"/>
      <c r="BAN13" s="328"/>
      <c r="BAP13" s="328"/>
      <c r="BAR13" s="328"/>
      <c r="BAT13" s="328"/>
      <c r="BAV13" s="328"/>
      <c r="BAX13" s="328"/>
      <c r="BAZ13" s="328"/>
      <c r="BBB13" s="328"/>
      <c r="BBD13" s="328"/>
      <c r="BBF13" s="328"/>
      <c r="BBH13" s="328"/>
      <c r="BBJ13" s="328"/>
      <c r="BBL13" s="328"/>
      <c r="BBN13" s="328"/>
      <c r="BBP13" s="328"/>
      <c r="BBR13" s="328"/>
      <c r="BBT13" s="328"/>
      <c r="BBV13" s="328"/>
      <c r="BBX13" s="328"/>
      <c r="BBZ13" s="328"/>
      <c r="BCB13" s="328"/>
      <c r="BCD13" s="328"/>
      <c r="BCF13" s="328"/>
      <c r="BCH13" s="328"/>
      <c r="BCJ13" s="328"/>
      <c r="BCL13" s="328"/>
      <c r="BCN13" s="328"/>
      <c r="BCP13" s="328"/>
      <c r="BCR13" s="328"/>
      <c r="BCT13" s="328"/>
      <c r="BCV13" s="328"/>
      <c r="BCX13" s="328"/>
      <c r="BCZ13" s="328"/>
      <c r="BDB13" s="328"/>
      <c r="BDD13" s="328"/>
      <c r="BDF13" s="328"/>
      <c r="BDH13" s="328"/>
      <c r="BDJ13" s="328"/>
      <c r="BDL13" s="328"/>
      <c r="BDN13" s="328"/>
      <c r="BDP13" s="328"/>
      <c r="BDR13" s="328"/>
      <c r="BDT13" s="328"/>
      <c r="BDV13" s="328"/>
      <c r="BDX13" s="328"/>
      <c r="BDZ13" s="328"/>
      <c r="BEB13" s="328"/>
      <c r="BED13" s="328"/>
      <c r="BEF13" s="328"/>
      <c r="BEH13" s="328"/>
      <c r="BEJ13" s="328"/>
      <c r="BEL13" s="328"/>
      <c r="BEN13" s="328"/>
      <c r="BEP13" s="328"/>
      <c r="BER13" s="328"/>
      <c r="BET13" s="328"/>
      <c r="BEV13" s="328"/>
      <c r="BEX13" s="328"/>
      <c r="BEZ13" s="328"/>
      <c r="BFB13" s="328"/>
      <c r="BFD13" s="328"/>
      <c r="BFF13" s="328"/>
      <c r="BFH13" s="328"/>
      <c r="BFJ13" s="328"/>
      <c r="BFL13" s="328"/>
      <c r="BFN13" s="328"/>
      <c r="BFP13" s="328"/>
      <c r="BFR13" s="328"/>
      <c r="BFT13" s="328"/>
      <c r="BFV13" s="328"/>
      <c r="BFX13" s="328"/>
      <c r="BFZ13" s="328"/>
      <c r="BGB13" s="328"/>
      <c r="BGD13" s="328"/>
      <c r="BGF13" s="328"/>
      <c r="BGH13" s="328"/>
      <c r="BGJ13" s="328"/>
      <c r="BGL13" s="328"/>
      <c r="BGN13" s="328"/>
      <c r="BGP13" s="328"/>
      <c r="BGR13" s="328"/>
      <c r="BGT13" s="328"/>
      <c r="BGV13" s="328"/>
      <c r="BGX13" s="328"/>
      <c r="BGZ13" s="328"/>
      <c r="BHB13" s="328"/>
      <c r="BHD13" s="328"/>
      <c r="BHF13" s="328"/>
      <c r="BHH13" s="328"/>
      <c r="BHJ13" s="328"/>
      <c r="BHL13" s="328"/>
      <c r="BHN13" s="328"/>
      <c r="BHP13" s="328"/>
      <c r="BHR13" s="328"/>
      <c r="BHT13" s="328"/>
      <c r="BHV13" s="328"/>
      <c r="BHX13" s="328"/>
      <c r="BHZ13" s="328"/>
      <c r="BIB13" s="328"/>
      <c r="BID13" s="328"/>
      <c r="BIF13" s="328"/>
      <c r="BIH13" s="328"/>
      <c r="BIJ13" s="328"/>
      <c r="BIL13" s="328"/>
      <c r="BIN13" s="328"/>
      <c r="BIP13" s="328"/>
      <c r="BIR13" s="328"/>
      <c r="BIT13" s="328"/>
      <c r="BIV13" s="328"/>
      <c r="BIX13" s="328"/>
      <c r="BIZ13" s="328"/>
      <c r="BJB13" s="328"/>
      <c r="BJD13" s="328"/>
      <c r="BJF13" s="328"/>
      <c r="BJH13" s="328"/>
      <c r="BJJ13" s="328"/>
      <c r="BJL13" s="328"/>
      <c r="BJN13" s="328"/>
      <c r="BJP13" s="328"/>
      <c r="BJR13" s="328"/>
      <c r="BJT13" s="328"/>
      <c r="BJV13" s="328"/>
      <c r="BJX13" s="328"/>
      <c r="BJZ13" s="328"/>
      <c r="BKB13" s="328"/>
      <c r="BKD13" s="328"/>
      <c r="BKF13" s="328"/>
      <c r="BKH13" s="328"/>
      <c r="BKJ13" s="328"/>
      <c r="BKL13" s="328"/>
      <c r="BKN13" s="328"/>
      <c r="BKP13" s="328"/>
      <c r="BKR13" s="328"/>
      <c r="BKT13" s="328"/>
      <c r="BKV13" s="328"/>
      <c r="BKX13" s="328"/>
      <c r="BKZ13" s="328"/>
      <c r="BLB13" s="328"/>
      <c r="BLD13" s="328"/>
      <c r="BLF13" s="328"/>
      <c r="BLH13" s="328"/>
      <c r="BLJ13" s="328"/>
      <c r="BLL13" s="328"/>
      <c r="BLN13" s="328"/>
      <c r="BLP13" s="328"/>
      <c r="BLR13" s="328"/>
      <c r="BLT13" s="328"/>
      <c r="BLV13" s="328"/>
      <c r="BLX13" s="328"/>
      <c r="BLZ13" s="328"/>
      <c r="BMB13" s="328"/>
      <c r="BMD13" s="328"/>
      <c r="BMF13" s="328"/>
      <c r="BMH13" s="328"/>
      <c r="BMJ13" s="328"/>
      <c r="BML13" s="328"/>
      <c r="BMN13" s="328"/>
      <c r="BMP13" s="328"/>
      <c r="BMR13" s="328"/>
      <c r="BMT13" s="328"/>
      <c r="BMV13" s="328"/>
      <c r="BMX13" s="328"/>
      <c r="BMZ13" s="328"/>
      <c r="BNB13" s="328"/>
      <c r="BND13" s="328"/>
      <c r="BNF13" s="328"/>
      <c r="BNH13" s="328"/>
      <c r="BNJ13" s="328"/>
      <c r="BNL13" s="328"/>
      <c r="BNN13" s="328"/>
      <c r="BNP13" s="328"/>
      <c r="BNR13" s="328"/>
      <c r="BNT13" s="328"/>
      <c r="BNV13" s="328"/>
      <c r="BNX13" s="328"/>
      <c r="BNZ13" s="328"/>
      <c r="BOB13" s="328"/>
      <c r="BOD13" s="328"/>
      <c r="BOF13" s="328"/>
      <c r="BOH13" s="328"/>
      <c r="BOJ13" s="328"/>
      <c r="BOL13" s="328"/>
      <c r="BON13" s="328"/>
      <c r="BOP13" s="328"/>
      <c r="BOR13" s="328"/>
      <c r="BOT13" s="328"/>
      <c r="BOV13" s="328"/>
      <c r="BOX13" s="328"/>
      <c r="BOZ13" s="328"/>
      <c r="BPB13" s="328"/>
      <c r="BPD13" s="328"/>
      <c r="BPF13" s="328"/>
      <c r="BPH13" s="328"/>
      <c r="BPJ13" s="328"/>
      <c r="BPL13" s="328"/>
      <c r="BPN13" s="328"/>
      <c r="BPP13" s="328"/>
      <c r="BPR13" s="328"/>
      <c r="BPT13" s="328"/>
      <c r="BPV13" s="328"/>
      <c r="BPX13" s="328"/>
      <c r="BPZ13" s="328"/>
      <c r="BQB13" s="328"/>
      <c r="BQD13" s="328"/>
      <c r="BQF13" s="328"/>
      <c r="BQH13" s="328"/>
      <c r="BQJ13" s="328"/>
      <c r="BQL13" s="328"/>
      <c r="BQN13" s="328"/>
      <c r="BQP13" s="328"/>
      <c r="BQR13" s="328"/>
      <c r="BQT13" s="328"/>
      <c r="BQV13" s="328"/>
      <c r="BQX13" s="328"/>
      <c r="BQZ13" s="328"/>
      <c r="BRB13" s="328"/>
      <c r="BRD13" s="328"/>
      <c r="BRF13" s="328"/>
      <c r="BRH13" s="328"/>
      <c r="BRJ13" s="328"/>
      <c r="BRL13" s="328"/>
      <c r="BRN13" s="328"/>
      <c r="BRP13" s="328"/>
      <c r="BRR13" s="328"/>
      <c r="BRT13" s="328"/>
      <c r="BRV13" s="328"/>
      <c r="BRX13" s="328"/>
      <c r="BRZ13" s="328"/>
      <c r="BSB13" s="328"/>
      <c r="BSD13" s="328"/>
      <c r="BSF13" s="328"/>
      <c r="BSH13" s="328"/>
      <c r="BSJ13" s="328"/>
      <c r="BSL13" s="328"/>
      <c r="BSN13" s="328"/>
      <c r="BSP13" s="328"/>
      <c r="BSR13" s="328"/>
      <c r="BST13" s="328"/>
      <c r="BSV13" s="328"/>
      <c r="BSX13" s="328"/>
      <c r="BSZ13" s="328"/>
      <c r="BTB13" s="328"/>
      <c r="BTD13" s="328"/>
      <c r="BTF13" s="328"/>
      <c r="BTH13" s="328"/>
      <c r="BTJ13" s="328"/>
      <c r="BTL13" s="328"/>
      <c r="BTN13" s="328"/>
      <c r="BTP13" s="328"/>
      <c r="BTR13" s="328"/>
      <c r="BTT13" s="328"/>
      <c r="BTV13" s="328"/>
      <c r="BTX13" s="328"/>
      <c r="BTZ13" s="328"/>
      <c r="BUB13" s="328"/>
      <c r="BUD13" s="328"/>
      <c r="BUF13" s="328"/>
      <c r="BUH13" s="328"/>
      <c r="BUJ13" s="328"/>
      <c r="BUL13" s="328"/>
      <c r="BUN13" s="328"/>
      <c r="BUP13" s="328"/>
      <c r="BUR13" s="328"/>
      <c r="BUT13" s="328"/>
      <c r="BUV13" s="328"/>
      <c r="BUX13" s="328"/>
      <c r="BUZ13" s="328"/>
      <c r="BVB13" s="328"/>
      <c r="BVD13" s="328"/>
      <c r="BVF13" s="328"/>
      <c r="BVH13" s="328"/>
      <c r="BVJ13" s="328"/>
      <c r="BVL13" s="328"/>
      <c r="BVN13" s="328"/>
      <c r="BVP13" s="328"/>
      <c r="BVR13" s="328"/>
      <c r="BVT13" s="328"/>
      <c r="BVV13" s="328"/>
      <c r="BVX13" s="328"/>
      <c r="BVZ13" s="328"/>
      <c r="BWB13" s="328"/>
      <c r="BWD13" s="328"/>
      <c r="BWF13" s="328"/>
      <c r="BWH13" s="328"/>
      <c r="BWJ13" s="328"/>
      <c r="BWL13" s="328"/>
      <c r="BWN13" s="328"/>
      <c r="BWP13" s="328"/>
      <c r="BWR13" s="328"/>
      <c r="BWT13" s="328"/>
      <c r="BWV13" s="328"/>
      <c r="BWX13" s="328"/>
      <c r="BWZ13" s="328"/>
      <c r="BXB13" s="328"/>
      <c r="BXD13" s="328"/>
      <c r="BXF13" s="328"/>
      <c r="BXH13" s="328"/>
      <c r="BXJ13" s="328"/>
      <c r="BXL13" s="328"/>
      <c r="BXN13" s="328"/>
      <c r="BXP13" s="328"/>
      <c r="BXR13" s="328"/>
      <c r="BXT13" s="328"/>
      <c r="BXV13" s="328"/>
      <c r="BXX13" s="328"/>
      <c r="BXZ13" s="328"/>
      <c r="BYB13" s="328"/>
      <c r="BYD13" s="328"/>
      <c r="BYF13" s="328"/>
      <c r="BYH13" s="328"/>
      <c r="BYJ13" s="328"/>
      <c r="BYL13" s="328"/>
      <c r="BYN13" s="328"/>
      <c r="BYP13" s="328"/>
      <c r="BYR13" s="328"/>
      <c r="BYT13" s="328"/>
      <c r="BYV13" s="328"/>
      <c r="BYX13" s="328"/>
      <c r="BYZ13" s="328"/>
      <c r="BZB13" s="328"/>
      <c r="BZD13" s="328"/>
      <c r="BZF13" s="328"/>
      <c r="BZH13" s="328"/>
      <c r="BZJ13" s="328"/>
      <c r="BZL13" s="328"/>
      <c r="BZN13" s="328"/>
      <c r="BZP13" s="328"/>
      <c r="BZR13" s="328"/>
      <c r="BZT13" s="328"/>
      <c r="BZV13" s="328"/>
      <c r="BZX13" s="328"/>
      <c r="BZZ13" s="328"/>
      <c r="CAB13" s="328"/>
      <c r="CAD13" s="328"/>
      <c r="CAF13" s="328"/>
      <c r="CAH13" s="328"/>
      <c r="CAJ13" s="328"/>
      <c r="CAL13" s="328"/>
      <c r="CAN13" s="328"/>
      <c r="CAP13" s="328"/>
      <c r="CAR13" s="328"/>
      <c r="CAT13" s="328"/>
      <c r="CAV13" s="328"/>
      <c r="CAX13" s="328"/>
      <c r="CAZ13" s="328"/>
      <c r="CBB13" s="328"/>
      <c r="CBD13" s="328"/>
      <c r="CBF13" s="328"/>
      <c r="CBH13" s="328"/>
      <c r="CBJ13" s="328"/>
      <c r="CBL13" s="328"/>
      <c r="CBN13" s="328"/>
      <c r="CBP13" s="328"/>
      <c r="CBR13" s="328"/>
      <c r="CBT13" s="328"/>
      <c r="CBV13" s="328"/>
      <c r="CBX13" s="328"/>
      <c r="CBZ13" s="328"/>
      <c r="CCB13" s="328"/>
      <c r="CCD13" s="328"/>
      <c r="CCF13" s="328"/>
      <c r="CCH13" s="328"/>
      <c r="CCJ13" s="328"/>
      <c r="CCL13" s="328"/>
      <c r="CCN13" s="328"/>
      <c r="CCP13" s="328"/>
      <c r="CCR13" s="328"/>
      <c r="CCT13" s="328"/>
      <c r="CCV13" s="328"/>
      <c r="CCX13" s="328"/>
      <c r="CCZ13" s="328"/>
      <c r="CDB13" s="328"/>
      <c r="CDD13" s="328"/>
      <c r="CDF13" s="328"/>
      <c r="CDH13" s="328"/>
      <c r="CDJ13" s="328"/>
      <c r="CDL13" s="328"/>
      <c r="CDN13" s="328"/>
      <c r="CDP13" s="328"/>
      <c r="CDR13" s="328"/>
      <c r="CDT13" s="328"/>
      <c r="CDV13" s="328"/>
      <c r="CDX13" s="328"/>
      <c r="CDZ13" s="328"/>
      <c r="CEB13" s="328"/>
      <c r="CED13" s="328"/>
      <c r="CEF13" s="328"/>
      <c r="CEH13" s="328"/>
      <c r="CEJ13" s="328"/>
      <c r="CEL13" s="328"/>
      <c r="CEN13" s="328"/>
      <c r="CEP13" s="328"/>
      <c r="CER13" s="328"/>
      <c r="CET13" s="328"/>
      <c r="CEV13" s="328"/>
      <c r="CEX13" s="328"/>
      <c r="CEZ13" s="328"/>
      <c r="CFB13" s="328"/>
      <c r="CFD13" s="328"/>
      <c r="CFF13" s="328"/>
      <c r="CFH13" s="328"/>
      <c r="CFJ13" s="328"/>
      <c r="CFL13" s="328"/>
      <c r="CFN13" s="328"/>
      <c r="CFP13" s="328"/>
      <c r="CFR13" s="328"/>
      <c r="CFT13" s="328"/>
      <c r="CFV13" s="328"/>
      <c r="CFX13" s="328"/>
      <c r="CFZ13" s="328"/>
      <c r="CGB13" s="328"/>
      <c r="CGD13" s="328"/>
      <c r="CGF13" s="328"/>
      <c r="CGH13" s="328"/>
      <c r="CGJ13" s="328"/>
      <c r="CGL13" s="328"/>
      <c r="CGN13" s="328"/>
      <c r="CGP13" s="328"/>
      <c r="CGR13" s="328"/>
      <c r="CGT13" s="328"/>
      <c r="CGV13" s="328"/>
      <c r="CGX13" s="328"/>
      <c r="CGZ13" s="328"/>
      <c r="CHB13" s="328"/>
      <c r="CHD13" s="328"/>
      <c r="CHF13" s="328"/>
      <c r="CHH13" s="328"/>
      <c r="CHJ13" s="328"/>
      <c r="CHL13" s="328"/>
      <c r="CHN13" s="328"/>
      <c r="CHP13" s="328"/>
      <c r="CHR13" s="328"/>
      <c r="CHT13" s="328"/>
      <c r="CHV13" s="328"/>
      <c r="CHX13" s="328"/>
      <c r="CHZ13" s="328"/>
      <c r="CIB13" s="328"/>
      <c r="CID13" s="328"/>
      <c r="CIF13" s="328"/>
      <c r="CIH13" s="328"/>
      <c r="CIJ13" s="328"/>
      <c r="CIL13" s="328"/>
      <c r="CIN13" s="328"/>
      <c r="CIP13" s="328"/>
      <c r="CIR13" s="328"/>
      <c r="CIT13" s="328"/>
      <c r="CIV13" s="328"/>
      <c r="CIX13" s="328"/>
      <c r="CIZ13" s="328"/>
      <c r="CJB13" s="328"/>
      <c r="CJD13" s="328"/>
      <c r="CJF13" s="328"/>
      <c r="CJH13" s="328"/>
      <c r="CJJ13" s="328"/>
      <c r="CJL13" s="328"/>
      <c r="CJN13" s="328"/>
      <c r="CJP13" s="328"/>
      <c r="CJR13" s="328"/>
      <c r="CJT13" s="328"/>
      <c r="CJV13" s="328"/>
      <c r="CJX13" s="328"/>
      <c r="CJZ13" s="328"/>
      <c r="CKB13" s="328"/>
      <c r="CKD13" s="328"/>
      <c r="CKF13" s="328"/>
      <c r="CKH13" s="328"/>
      <c r="CKJ13" s="328"/>
      <c r="CKL13" s="328"/>
      <c r="CKN13" s="328"/>
      <c r="CKP13" s="328"/>
      <c r="CKR13" s="328"/>
      <c r="CKT13" s="328"/>
      <c r="CKV13" s="328"/>
      <c r="CKX13" s="328"/>
      <c r="CKZ13" s="328"/>
      <c r="CLB13" s="328"/>
      <c r="CLD13" s="328"/>
      <c r="CLF13" s="328"/>
      <c r="CLH13" s="328"/>
      <c r="CLJ13" s="328"/>
      <c r="CLL13" s="328"/>
      <c r="CLN13" s="328"/>
      <c r="CLP13" s="328"/>
      <c r="CLR13" s="328"/>
      <c r="CLT13" s="328"/>
      <c r="CLV13" s="328"/>
      <c r="CLX13" s="328"/>
      <c r="CLZ13" s="328"/>
      <c r="CMB13" s="328"/>
      <c r="CMD13" s="328"/>
      <c r="CMF13" s="328"/>
      <c r="CMH13" s="328"/>
      <c r="CMJ13" s="328"/>
      <c r="CML13" s="328"/>
      <c r="CMN13" s="328"/>
      <c r="CMP13" s="328"/>
      <c r="CMR13" s="328"/>
      <c r="CMT13" s="328"/>
      <c r="CMV13" s="328"/>
      <c r="CMX13" s="328"/>
      <c r="CMZ13" s="328"/>
      <c r="CNB13" s="328"/>
      <c r="CND13" s="328"/>
      <c r="CNF13" s="328"/>
      <c r="CNH13" s="328"/>
      <c r="CNJ13" s="328"/>
      <c r="CNL13" s="328"/>
      <c r="CNN13" s="328"/>
      <c r="CNP13" s="328"/>
      <c r="CNR13" s="328"/>
      <c r="CNT13" s="328"/>
      <c r="CNV13" s="328"/>
      <c r="CNX13" s="328"/>
      <c r="CNZ13" s="328"/>
      <c r="COB13" s="328"/>
      <c r="COD13" s="328"/>
      <c r="COF13" s="328"/>
      <c r="COH13" s="328"/>
      <c r="COJ13" s="328"/>
      <c r="COL13" s="328"/>
      <c r="CON13" s="328"/>
      <c r="COP13" s="328"/>
      <c r="COR13" s="328"/>
      <c r="COT13" s="328"/>
      <c r="COV13" s="328"/>
      <c r="COX13" s="328"/>
      <c r="COZ13" s="328"/>
      <c r="CPB13" s="328"/>
      <c r="CPD13" s="328"/>
      <c r="CPF13" s="328"/>
      <c r="CPH13" s="328"/>
      <c r="CPJ13" s="328"/>
      <c r="CPL13" s="328"/>
      <c r="CPN13" s="328"/>
      <c r="CPP13" s="328"/>
      <c r="CPR13" s="328"/>
      <c r="CPT13" s="328"/>
      <c r="CPV13" s="328"/>
      <c r="CPX13" s="328"/>
      <c r="CPZ13" s="328"/>
      <c r="CQB13" s="328"/>
      <c r="CQD13" s="328"/>
      <c r="CQF13" s="328"/>
      <c r="CQH13" s="328"/>
      <c r="CQJ13" s="328"/>
      <c r="CQL13" s="328"/>
      <c r="CQN13" s="328"/>
      <c r="CQP13" s="328"/>
      <c r="CQR13" s="328"/>
      <c r="CQT13" s="328"/>
      <c r="CQV13" s="328"/>
      <c r="CQX13" s="328"/>
      <c r="CQZ13" s="328"/>
      <c r="CRB13" s="328"/>
      <c r="CRD13" s="328"/>
      <c r="CRF13" s="328"/>
      <c r="CRH13" s="328"/>
      <c r="CRJ13" s="328"/>
      <c r="CRL13" s="328"/>
      <c r="CRN13" s="328"/>
      <c r="CRP13" s="328"/>
      <c r="CRR13" s="328"/>
      <c r="CRT13" s="328"/>
      <c r="CRV13" s="328"/>
      <c r="CRX13" s="328"/>
      <c r="CRZ13" s="328"/>
      <c r="CSB13" s="328"/>
      <c r="CSD13" s="328"/>
      <c r="CSF13" s="328"/>
      <c r="CSH13" s="328"/>
      <c r="CSJ13" s="328"/>
      <c r="CSL13" s="328"/>
      <c r="CSN13" s="328"/>
      <c r="CSP13" s="328"/>
      <c r="CSR13" s="328"/>
      <c r="CST13" s="328"/>
      <c r="CSV13" s="328"/>
      <c r="CSX13" s="328"/>
      <c r="CSZ13" s="328"/>
      <c r="CTB13" s="328"/>
      <c r="CTD13" s="328"/>
      <c r="CTF13" s="328"/>
      <c r="CTH13" s="328"/>
      <c r="CTJ13" s="328"/>
      <c r="CTL13" s="328"/>
      <c r="CTN13" s="328"/>
      <c r="CTP13" s="328"/>
      <c r="CTR13" s="328"/>
      <c r="CTT13" s="328"/>
      <c r="CTV13" s="328"/>
      <c r="CTX13" s="328"/>
      <c r="CTZ13" s="328"/>
      <c r="CUB13" s="328"/>
      <c r="CUD13" s="328"/>
      <c r="CUF13" s="328"/>
      <c r="CUH13" s="328"/>
      <c r="CUJ13" s="328"/>
      <c r="CUL13" s="328"/>
      <c r="CUN13" s="328"/>
      <c r="CUP13" s="328"/>
      <c r="CUR13" s="328"/>
      <c r="CUT13" s="328"/>
      <c r="CUV13" s="328"/>
      <c r="CUX13" s="328"/>
      <c r="CUZ13" s="328"/>
      <c r="CVB13" s="328"/>
      <c r="CVD13" s="328"/>
      <c r="CVF13" s="328"/>
      <c r="CVH13" s="328"/>
      <c r="CVJ13" s="328"/>
      <c r="CVL13" s="328"/>
      <c r="CVN13" s="328"/>
      <c r="CVP13" s="328"/>
      <c r="CVR13" s="328"/>
      <c r="CVT13" s="328"/>
      <c r="CVV13" s="328"/>
      <c r="CVX13" s="328"/>
      <c r="CVZ13" s="328"/>
      <c r="CWB13" s="328"/>
      <c r="CWD13" s="328"/>
      <c r="CWF13" s="328"/>
      <c r="CWH13" s="328"/>
      <c r="CWJ13" s="328"/>
      <c r="CWL13" s="328"/>
      <c r="CWN13" s="328"/>
      <c r="CWP13" s="328"/>
      <c r="CWR13" s="328"/>
      <c r="CWT13" s="328"/>
      <c r="CWV13" s="328"/>
      <c r="CWX13" s="328"/>
      <c r="CWZ13" s="328"/>
      <c r="CXB13" s="328"/>
      <c r="CXD13" s="328"/>
      <c r="CXF13" s="328"/>
      <c r="CXH13" s="328"/>
      <c r="CXJ13" s="328"/>
      <c r="CXL13" s="328"/>
      <c r="CXN13" s="328"/>
      <c r="CXP13" s="328"/>
      <c r="CXR13" s="328"/>
      <c r="CXT13" s="328"/>
      <c r="CXV13" s="328"/>
      <c r="CXX13" s="328"/>
      <c r="CXZ13" s="328"/>
      <c r="CYB13" s="328"/>
      <c r="CYD13" s="328"/>
      <c r="CYF13" s="328"/>
      <c r="CYH13" s="328"/>
      <c r="CYJ13" s="328"/>
      <c r="CYL13" s="328"/>
      <c r="CYN13" s="328"/>
      <c r="CYP13" s="328"/>
      <c r="CYR13" s="328"/>
      <c r="CYT13" s="328"/>
      <c r="CYV13" s="328"/>
      <c r="CYX13" s="328"/>
      <c r="CYZ13" s="328"/>
      <c r="CZB13" s="328"/>
      <c r="CZD13" s="328"/>
      <c r="CZF13" s="328"/>
      <c r="CZH13" s="328"/>
      <c r="CZJ13" s="328"/>
      <c r="CZL13" s="328"/>
      <c r="CZN13" s="328"/>
      <c r="CZP13" s="328"/>
      <c r="CZR13" s="328"/>
      <c r="CZT13" s="328"/>
      <c r="CZV13" s="328"/>
      <c r="CZX13" s="328"/>
      <c r="CZZ13" s="328"/>
      <c r="DAB13" s="328"/>
      <c r="DAD13" s="328"/>
      <c r="DAF13" s="328"/>
      <c r="DAH13" s="328"/>
      <c r="DAJ13" s="328"/>
      <c r="DAL13" s="328"/>
      <c r="DAN13" s="328"/>
      <c r="DAP13" s="328"/>
      <c r="DAR13" s="328"/>
      <c r="DAT13" s="328"/>
      <c r="DAV13" s="328"/>
      <c r="DAX13" s="328"/>
      <c r="DAZ13" s="328"/>
      <c r="DBB13" s="328"/>
      <c r="DBD13" s="328"/>
      <c r="DBF13" s="328"/>
      <c r="DBH13" s="328"/>
      <c r="DBJ13" s="328"/>
      <c r="DBL13" s="328"/>
      <c r="DBN13" s="328"/>
      <c r="DBP13" s="328"/>
      <c r="DBR13" s="328"/>
      <c r="DBT13" s="328"/>
      <c r="DBV13" s="328"/>
      <c r="DBX13" s="328"/>
      <c r="DBZ13" s="328"/>
      <c r="DCB13" s="328"/>
      <c r="DCD13" s="328"/>
      <c r="DCF13" s="328"/>
      <c r="DCH13" s="328"/>
      <c r="DCJ13" s="328"/>
      <c r="DCL13" s="328"/>
      <c r="DCN13" s="328"/>
      <c r="DCP13" s="328"/>
      <c r="DCR13" s="328"/>
      <c r="DCT13" s="328"/>
      <c r="DCV13" s="328"/>
      <c r="DCX13" s="328"/>
      <c r="DCZ13" s="328"/>
      <c r="DDB13" s="328"/>
      <c r="DDD13" s="328"/>
      <c r="DDF13" s="328"/>
      <c r="DDH13" s="328"/>
      <c r="DDJ13" s="328"/>
      <c r="DDL13" s="328"/>
      <c r="DDN13" s="328"/>
      <c r="DDP13" s="328"/>
      <c r="DDR13" s="328"/>
      <c r="DDT13" s="328"/>
      <c r="DDV13" s="328"/>
      <c r="DDX13" s="328"/>
      <c r="DDZ13" s="328"/>
      <c r="DEB13" s="328"/>
      <c r="DED13" s="328"/>
      <c r="DEF13" s="328"/>
      <c r="DEH13" s="328"/>
      <c r="DEJ13" s="328"/>
      <c r="DEL13" s="328"/>
      <c r="DEN13" s="328"/>
      <c r="DEP13" s="328"/>
      <c r="DER13" s="328"/>
      <c r="DET13" s="328"/>
      <c r="DEV13" s="328"/>
      <c r="DEX13" s="328"/>
      <c r="DEZ13" s="328"/>
      <c r="DFB13" s="328"/>
      <c r="DFD13" s="328"/>
      <c r="DFF13" s="328"/>
      <c r="DFH13" s="328"/>
      <c r="DFJ13" s="328"/>
      <c r="DFL13" s="328"/>
      <c r="DFN13" s="328"/>
      <c r="DFP13" s="328"/>
      <c r="DFR13" s="328"/>
      <c r="DFT13" s="328"/>
      <c r="DFV13" s="328"/>
      <c r="DFX13" s="328"/>
      <c r="DFZ13" s="328"/>
      <c r="DGB13" s="328"/>
      <c r="DGD13" s="328"/>
      <c r="DGF13" s="328"/>
      <c r="DGH13" s="328"/>
      <c r="DGJ13" s="328"/>
      <c r="DGL13" s="328"/>
      <c r="DGN13" s="328"/>
      <c r="DGP13" s="328"/>
      <c r="DGR13" s="328"/>
      <c r="DGT13" s="328"/>
      <c r="DGV13" s="328"/>
      <c r="DGX13" s="328"/>
      <c r="DGZ13" s="328"/>
      <c r="DHB13" s="328"/>
      <c r="DHD13" s="328"/>
      <c r="DHF13" s="328"/>
      <c r="DHH13" s="328"/>
      <c r="DHJ13" s="328"/>
      <c r="DHL13" s="328"/>
      <c r="DHN13" s="328"/>
      <c r="DHP13" s="328"/>
      <c r="DHR13" s="328"/>
      <c r="DHT13" s="328"/>
      <c r="DHV13" s="328"/>
      <c r="DHX13" s="328"/>
      <c r="DHZ13" s="328"/>
      <c r="DIB13" s="328"/>
      <c r="DID13" s="328"/>
      <c r="DIF13" s="328"/>
      <c r="DIH13" s="328"/>
      <c r="DIJ13" s="328"/>
      <c r="DIL13" s="328"/>
      <c r="DIN13" s="328"/>
      <c r="DIP13" s="328"/>
      <c r="DIR13" s="328"/>
      <c r="DIT13" s="328"/>
      <c r="DIV13" s="328"/>
      <c r="DIX13" s="328"/>
      <c r="DIZ13" s="328"/>
      <c r="DJB13" s="328"/>
      <c r="DJD13" s="328"/>
      <c r="DJF13" s="328"/>
      <c r="DJH13" s="328"/>
      <c r="DJJ13" s="328"/>
      <c r="DJL13" s="328"/>
      <c r="DJN13" s="328"/>
      <c r="DJP13" s="328"/>
      <c r="DJR13" s="328"/>
      <c r="DJT13" s="328"/>
      <c r="DJV13" s="328"/>
      <c r="DJX13" s="328"/>
      <c r="DJZ13" s="328"/>
      <c r="DKB13" s="328"/>
      <c r="DKD13" s="328"/>
      <c r="DKF13" s="328"/>
      <c r="DKH13" s="328"/>
      <c r="DKJ13" s="328"/>
      <c r="DKL13" s="328"/>
      <c r="DKN13" s="328"/>
      <c r="DKP13" s="328"/>
      <c r="DKR13" s="328"/>
      <c r="DKT13" s="328"/>
      <c r="DKV13" s="328"/>
      <c r="DKX13" s="328"/>
      <c r="DKZ13" s="328"/>
      <c r="DLB13" s="328"/>
      <c r="DLD13" s="328"/>
      <c r="DLF13" s="328"/>
      <c r="DLH13" s="328"/>
      <c r="DLJ13" s="328"/>
      <c r="DLL13" s="328"/>
      <c r="DLN13" s="328"/>
      <c r="DLP13" s="328"/>
      <c r="DLR13" s="328"/>
      <c r="DLT13" s="328"/>
      <c r="DLV13" s="328"/>
      <c r="DLX13" s="328"/>
      <c r="DLZ13" s="328"/>
      <c r="DMB13" s="328"/>
      <c r="DMD13" s="328"/>
      <c r="DMF13" s="328"/>
      <c r="DMH13" s="328"/>
      <c r="DMJ13" s="328"/>
      <c r="DML13" s="328"/>
      <c r="DMN13" s="328"/>
      <c r="DMP13" s="328"/>
      <c r="DMR13" s="328"/>
      <c r="DMT13" s="328"/>
      <c r="DMV13" s="328"/>
      <c r="DMX13" s="328"/>
      <c r="DMZ13" s="328"/>
      <c r="DNB13" s="328"/>
      <c r="DND13" s="328"/>
      <c r="DNF13" s="328"/>
      <c r="DNH13" s="328"/>
      <c r="DNJ13" s="328"/>
      <c r="DNL13" s="328"/>
      <c r="DNN13" s="328"/>
      <c r="DNP13" s="328"/>
      <c r="DNR13" s="328"/>
      <c r="DNT13" s="328"/>
      <c r="DNV13" s="328"/>
      <c r="DNX13" s="328"/>
      <c r="DNZ13" s="328"/>
      <c r="DOB13" s="328"/>
      <c r="DOD13" s="328"/>
      <c r="DOF13" s="328"/>
      <c r="DOH13" s="328"/>
      <c r="DOJ13" s="328"/>
      <c r="DOL13" s="328"/>
      <c r="DON13" s="328"/>
      <c r="DOP13" s="328"/>
      <c r="DOR13" s="328"/>
      <c r="DOT13" s="328"/>
      <c r="DOV13" s="328"/>
      <c r="DOX13" s="328"/>
      <c r="DOZ13" s="328"/>
      <c r="DPB13" s="328"/>
      <c r="DPD13" s="328"/>
      <c r="DPF13" s="328"/>
      <c r="DPH13" s="328"/>
      <c r="DPJ13" s="328"/>
      <c r="DPL13" s="328"/>
      <c r="DPN13" s="328"/>
      <c r="DPP13" s="328"/>
      <c r="DPR13" s="328"/>
      <c r="DPT13" s="328"/>
      <c r="DPV13" s="328"/>
      <c r="DPX13" s="328"/>
      <c r="DPZ13" s="328"/>
      <c r="DQB13" s="328"/>
      <c r="DQD13" s="328"/>
      <c r="DQF13" s="328"/>
      <c r="DQH13" s="328"/>
      <c r="DQJ13" s="328"/>
      <c r="DQL13" s="328"/>
      <c r="DQN13" s="328"/>
      <c r="DQP13" s="328"/>
      <c r="DQR13" s="328"/>
      <c r="DQT13" s="328"/>
      <c r="DQV13" s="328"/>
      <c r="DQX13" s="328"/>
      <c r="DQZ13" s="328"/>
      <c r="DRB13" s="328"/>
      <c r="DRD13" s="328"/>
      <c r="DRF13" s="328"/>
      <c r="DRH13" s="328"/>
      <c r="DRJ13" s="328"/>
      <c r="DRL13" s="328"/>
      <c r="DRN13" s="328"/>
      <c r="DRP13" s="328"/>
      <c r="DRR13" s="328"/>
      <c r="DRT13" s="328"/>
      <c r="DRV13" s="328"/>
      <c r="DRX13" s="328"/>
      <c r="DRZ13" s="328"/>
      <c r="DSB13" s="328"/>
      <c r="DSD13" s="328"/>
      <c r="DSF13" s="328"/>
      <c r="DSH13" s="328"/>
      <c r="DSJ13" s="328"/>
      <c r="DSL13" s="328"/>
      <c r="DSN13" s="328"/>
      <c r="DSP13" s="328"/>
      <c r="DSR13" s="328"/>
      <c r="DST13" s="328"/>
      <c r="DSV13" s="328"/>
      <c r="DSX13" s="328"/>
      <c r="DSZ13" s="328"/>
      <c r="DTB13" s="328"/>
      <c r="DTD13" s="328"/>
      <c r="DTF13" s="328"/>
      <c r="DTH13" s="328"/>
      <c r="DTJ13" s="328"/>
      <c r="DTL13" s="328"/>
      <c r="DTN13" s="328"/>
      <c r="DTP13" s="328"/>
      <c r="DTR13" s="328"/>
      <c r="DTT13" s="328"/>
      <c r="DTV13" s="328"/>
      <c r="DTX13" s="328"/>
      <c r="DTZ13" s="328"/>
      <c r="DUB13" s="328"/>
      <c r="DUD13" s="328"/>
      <c r="DUF13" s="328"/>
      <c r="DUH13" s="328"/>
      <c r="DUJ13" s="328"/>
      <c r="DUL13" s="328"/>
      <c r="DUN13" s="328"/>
      <c r="DUP13" s="328"/>
      <c r="DUR13" s="328"/>
      <c r="DUT13" s="328"/>
      <c r="DUV13" s="328"/>
      <c r="DUX13" s="328"/>
      <c r="DUZ13" s="328"/>
      <c r="DVB13" s="328"/>
      <c r="DVD13" s="328"/>
      <c r="DVF13" s="328"/>
      <c r="DVH13" s="328"/>
      <c r="DVJ13" s="328"/>
      <c r="DVL13" s="328"/>
      <c r="DVN13" s="328"/>
      <c r="DVP13" s="328"/>
      <c r="DVR13" s="328"/>
      <c r="DVT13" s="328"/>
      <c r="DVV13" s="328"/>
      <c r="DVX13" s="328"/>
      <c r="DVZ13" s="328"/>
      <c r="DWB13" s="328"/>
      <c r="DWD13" s="328"/>
      <c r="DWF13" s="328"/>
      <c r="DWH13" s="328"/>
      <c r="DWJ13" s="328"/>
      <c r="DWL13" s="328"/>
      <c r="DWN13" s="328"/>
      <c r="DWP13" s="328"/>
      <c r="DWR13" s="328"/>
      <c r="DWT13" s="328"/>
      <c r="DWV13" s="328"/>
      <c r="DWX13" s="328"/>
      <c r="DWZ13" s="328"/>
      <c r="DXB13" s="328"/>
      <c r="DXD13" s="328"/>
      <c r="DXF13" s="328"/>
      <c r="DXH13" s="328"/>
      <c r="DXJ13" s="328"/>
      <c r="DXL13" s="328"/>
      <c r="DXN13" s="328"/>
      <c r="DXP13" s="328"/>
      <c r="DXR13" s="328"/>
      <c r="DXT13" s="328"/>
      <c r="DXV13" s="328"/>
      <c r="DXX13" s="328"/>
      <c r="DXZ13" s="328"/>
      <c r="DYB13" s="328"/>
      <c r="DYD13" s="328"/>
      <c r="DYF13" s="328"/>
      <c r="DYH13" s="328"/>
      <c r="DYJ13" s="328"/>
      <c r="DYL13" s="328"/>
      <c r="DYN13" s="328"/>
      <c r="DYP13" s="328"/>
      <c r="DYR13" s="328"/>
      <c r="DYT13" s="328"/>
      <c r="DYV13" s="328"/>
      <c r="DYX13" s="328"/>
      <c r="DYZ13" s="328"/>
      <c r="DZB13" s="328"/>
      <c r="DZD13" s="328"/>
      <c r="DZF13" s="328"/>
      <c r="DZH13" s="328"/>
      <c r="DZJ13" s="328"/>
      <c r="DZL13" s="328"/>
      <c r="DZN13" s="328"/>
      <c r="DZP13" s="328"/>
      <c r="DZR13" s="328"/>
      <c r="DZT13" s="328"/>
      <c r="DZV13" s="328"/>
      <c r="DZX13" s="328"/>
      <c r="DZZ13" s="328"/>
      <c r="EAB13" s="328"/>
      <c r="EAD13" s="328"/>
      <c r="EAF13" s="328"/>
      <c r="EAH13" s="328"/>
      <c r="EAJ13" s="328"/>
      <c r="EAL13" s="328"/>
      <c r="EAN13" s="328"/>
      <c r="EAP13" s="328"/>
      <c r="EAR13" s="328"/>
      <c r="EAT13" s="328"/>
      <c r="EAV13" s="328"/>
      <c r="EAX13" s="328"/>
      <c r="EAZ13" s="328"/>
      <c r="EBB13" s="328"/>
      <c r="EBD13" s="328"/>
      <c r="EBF13" s="328"/>
      <c r="EBH13" s="328"/>
      <c r="EBJ13" s="328"/>
      <c r="EBL13" s="328"/>
      <c r="EBN13" s="328"/>
      <c r="EBP13" s="328"/>
      <c r="EBR13" s="328"/>
      <c r="EBT13" s="328"/>
      <c r="EBV13" s="328"/>
      <c r="EBX13" s="328"/>
      <c r="EBZ13" s="328"/>
      <c r="ECB13" s="328"/>
      <c r="ECD13" s="328"/>
      <c r="ECF13" s="328"/>
      <c r="ECH13" s="328"/>
      <c r="ECJ13" s="328"/>
      <c r="ECL13" s="328"/>
      <c r="ECN13" s="328"/>
      <c r="ECP13" s="328"/>
      <c r="ECR13" s="328"/>
      <c r="ECT13" s="328"/>
      <c r="ECV13" s="328"/>
      <c r="ECX13" s="328"/>
      <c r="ECZ13" s="328"/>
      <c r="EDB13" s="328"/>
      <c r="EDD13" s="328"/>
      <c r="EDF13" s="328"/>
      <c r="EDH13" s="328"/>
      <c r="EDJ13" s="328"/>
      <c r="EDL13" s="328"/>
      <c r="EDN13" s="328"/>
      <c r="EDP13" s="328"/>
      <c r="EDR13" s="328"/>
      <c r="EDT13" s="328"/>
      <c r="EDV13" s="328"/>
      <c r="EDX13" s="328"/>
      <c r="EDZ13" s="328"/>
      <c r="EEB13" s="328"/>
      <c r="EED13" s="328"/>
      <c r="EEF13" s="328"/>
      <c r="EEH13" s="328"/>
      <c r="EEJ13" s="328"/>
      <c r="EEL13" s="328"/>
      <c r="EEN13" s="328"/>
      <c r="EEP13" s="328"/>
      <c r="EER13" s="328"/>
      <c r="EET13" s="328"/>
      <c r="EEV13" s="328"/>
      <c r="EEX13" s="328"/>
      <c r="EEZ13" s="328"/>
      <c r="EFB13" s="328"/>
      <c r="EFD13" s="328"/>
      <c r="EFF13" s="328"/>
      <c r="EFH13" s="328"/>
      <c r="EFJ13" s="328"/>
      <c r="EFL13" s="328"/>
      <c r="EFN13" s="328"/>
      <c r="EFP13" s="328"/>
      <c r="EFR13" s="328"/>
      <c r="EFT13" s="328"/>
      <c r="EFV13" s="328"/>
      <c r="EFX13" s="328"/>
      <c r="EFZ13" s="328"/>
      <c r="EGB13" s="328"/>
      <c r="EGD13" s="328"/>
      <c r="EGF13" s="328"/>
      <c r="EGH13" s="328"/>
      <c r="EGJ13" s="328"/>
      <c r="EGL13" s="328"/>
      <c r="EGN13" s="328"/>
      <c r="EGP13" s="328"/>
      <c r="EGR13" s="328"/>
      <c r="EGT13" s="328"/>
      <c r="EGV13" s="328"/>
      <c r="EGX13" s="328"/>
      <c r="EGZ13" s="328"/>
      <c r="EHB13" s="328"/>
      <c r="EHD13" s="328"/>
      <c r="EHF13" s="328"/>
      <c r="EHH13" s="328"/>
      <c r="EHJ13" s="328"/>
      <c r="EHL13" s="328"/>
      <c r="EHN13" s="328"/>
      <c r="EHP13" s="328"/>
      <c r="EHR13" s="328"/>
      <c r="EHT13" s="328"/>
      <c r="EHV13" s="328"/>
      <c r="EHX13" s="328"/>
      <c r="EHZ13" s="328"/>
      <c r="EIB13" s="328"/>
      <c r="EID13" s="328"/>
      <c r="EIF13" s="328"/>
      <c r="EIH13" s="328"/>
      <c r="EIJ13" s="328"/>
      <c r="EIL13" s="328"/>
      <c r="EIN13" s="328"/>
      <c r="EIP13" s="328"/>
      <c r="EIR13" s="328"/>
      <c r="EIT13" s="328"/>
      <c r="EIV13" s="328"/>
      <c r="EIX13" s="328"/>
      <c r="EIZ13" s="328"/>
      <c r="EJB13" s="328"/>
      <c r="EJD13" s="328"/>
      <c r="EJF13" s="328"/>
      <c r="EJH13" s="328"/>
      <c r="EJJ13" s="328"/>
      <c r="EJL13" s="328"/>
      <c r="EJN13" s="328"/>
      <c r="EJP13" s="328"/>
      <c r="EJR13" s="328"/>
      <c r="EJT13" s="328"/>
      <c r="EJV13" s="328"/>
      <c r="EJX13" s="328"/>
      <c r="EJZ13" s="328"/>
      <c r="EKB13" s="328"/>
      <c r="EKD13" s="328"/>
      <c r="EKF13" s="328"/>
      <c r="EKH13" s="328"/>
      <c r="EKJ13" s="328"/>
      <c r="EKL13" s="328"/>
      <c r="EKN13" s="328"/>
      <c r="EKP13" s="328"/>
      <c r="EKR13" s="328"/>
      <c r="EKT13" s="328"/>
      <c r="EKV13" s="328"/>
      <c r="EKX13" s="328"/>
      <c r="EKZ13" s="328"/>
      <c r="ELB13" s="328"/>
      <c r="ELD13" s="328"/>
      <c r="ELF13" s="328"/>
      <c r="ELH13" s="328"/>
      <c r="ELJ13" s="328"/>
      <c r="ELL13" s="328"/>
      <c r="ELN13" s="328"/>
      <c r="ELP13" s="328"/>
      <c r="ELR13" s="328"/>
      <c r="ELT13" s="328"/>
      <c r="ELV13" s="328"/>
      <c r="ELX13" s="328"/>
      <c r="ELZ13" s="328"/>
      <c r="EMB13" s="328"/>
      <c r="EMD13" s="328"/>
      <c r="EMF13" s="328"/>
      <c r="EMH13" s="328"/>
      <c r="EMJ13" s="328"/>
      <c r="EML13" s="328"/>
      <c r="EMN13" s="328"/>
      <c r="EMP13" s="328"/>
      <c r="EMR13" s="328"/>
      <c r="EMT13" s="328"/>
      <c r="EMV13" s="328"/>
      <c r="EMX13" s="328"/>
      <c r="EMZ13" s="328"/>
      <c r="ENB13" s="328"/>
      <c r="END13" s="328"/>
      <c r="ENF13" s="328"/>
      <c r="ENH13" s="328"/>
      <c r="ENJ13" s="328"/>
      <c r="ENL13" s="328"/>
      <c r="ENN13" s="328"/>
      <c r="ENP13" s="328"/>
      <c r="ENR13" s="328"/>
      <c r="ENT13" s="328"/>
      <c r="ENV13" s="328"/>
      <c r="ENX13" s="328"/>
      <c r="ENZ13" s="328"/>
      <c r="EOB13" s="328"/>
      <c r="EOD13" s="328"/>
      <c r="EOF13" s="328"/>
      <c r="EOH13" s="328"/>
      <c r="EOJ13" s="328"/>
      <c r="EOL13" s="328"/>
      <c r="EON13" s="328"/>
      <c r="EOP13" s="328"/>
      <c r="EOR13" s="328"/>
      <c r="EOT13" s="328"/>
      <c r="EOV13" s="328"/>
      <c r="EOX13" s="328"/>
      <c r="EOZ13" s="328"/>
      <c r="EPB13" s="328"/>
      <c r="EPD13" s="328"/>
      <c r="EPF13" s="328"/>
      <c r="EPH13" s="328"/>
      <c r="EPJ13" s="328"/>
      <c r="EPL13" s="328"/>
      <c r="EPN13" s="328"/>
      <c r="EPP13" s="328"/>
      <c r="EPR13" s="328"/>
      <c r="EPT13" s="328"/>
      <c r="EPV13" s="328"/>
      <c r="EPX13" s="328"/>
      <c r="EPZ13" s="328"/>
      <c r="EQB13" s="328"/>
      <c r="EQD13" s="328"/>
      <c r="EQF13" s="328"/>
      <c r="EQH13" s="328"/>
      <c r="EQJ13" s="328"/>
      <c r="EQL13" s="328"/>
      <c r="EQN13" s="328"/>
      <c r="EQP13" s="328"/>
      <c r="EQR13" s="328"/>
      <c r="EQT13" s="328"/>
      <c r="EQV13" s="328"/>
      <c r="EQX13" s="328"/>
      <c r="EQZ13" s="328"/>
      <c r="ERB13" s="328"/>
      <c r="ERD13" s="328"/>
      <c r="ERF13" s="328"/>
      <c r="ERH13" s="328"/>
      <c r="ERJ13" s="328"/>
      <c r="ERL13" s="328"/>
      <c r="ERN13" s="328"/>
      <c r="ERP13" s="328"/>
      <c r="ERR13" s="328"/>
      <c r="ERT13" s="328"/>
      <c r="ERV13" s="328"/>
      <c r="ERX13" s="328"/>
      <c r="ERZ13" s="328"/>
      <c r="ESB13" s="328"/>
      <c r="ESD13" s="328"/>
      <c r="ESF13" s="328"/>
      <c r="ESH13" s="328"/>
      <c r="ESJ13" s="328"/>
      <c r="ESL13" s="328"/>
      <c r="ESN13" s="328"/>
      <c r="ESP13" s="328"/>
      <c r="ESR13" s="328"/>
      <c r="EST13" s="328"/>
      <c r="ESV13" s="328"/>
      <c r="ESX13" s="328"/>
      <c r="ESZ13" s="328"/>
      <c r="ETB13" s="328"/>
      <c r="ETD13" s="328"/>
      <c r="ETF13" s="328"/>
      <c r="ETH13" s="328"/>
      <c r="ETJ13" s="328"/>
      <c r="ETL13" s="328"/>
      <c r="ETN13" s="328"/>
      <c r="ETP13" s="328"/>
      <c r="ETR13" s="328"/>
      <c r="ETT13" s="328"/>
      <c r="ETV13" s="328"/>
      <c r="ETX13" s="328"/>
      <c r="ETZ13" s="328"/>
      <c r="EUB13" s="328"/>
      <c r="EUD13" s="328"/>
      <c r="EUF13" s="328"/>
      <c r="EUH13" s="328"/>
      <c r="EUJ13" s="328"/>
      <c r="EUL13" s="328"/>
      <c r="EUN13" s="328"/>
      <c r="EUP13" s="328"/>
      <c r="EUR13" s="328"/>
      <c r="EUT13" s="328"/>
      <c r="EUV13" s="328"/>
      <c r="EUX13" s="328"/>
      <c r="EUZ13" s="328"/>
      <c r="EVB13" s="328"/>
      <c r="EVD13" s="328"/>
      <c r="EVF13" s="328"/>
      <c r="EVH13" s="328"/>
      <c r="EVJ13" s="328"/>
      <c r="EVL13" s="328"/>
      <c r="EVN13" s="328"/>
      <c r="EVP13" s="328"/>
      <c r="EVR13" s="328"/>
      <c r="EVT13" s="328"/>
      <c r="EVV13" s="328"/>
      <c r="EVX13" s="328"/>
      <c r="EVZ13" s="328"/>
      <c r="EWB13" s="328"/>
      <c r="EWD13" s="328"/>
      <c r="EWF13" s="328"/>
      <c r="EWH13" s="328"/>
      <c r="EWJ13" s="328"/>
      <c r="EWL13" s="328"/>
      <c r="EWN13" s="328"/>
      <c r="EWP13" s="328"/>
      <c r="EWR13" s="328"/>
      <c r="EWT13" s="328"/>
      <c r="EWV13" s="328"/>
      <c r="EWX13" s="328"/>
      <c r="EWZ13" s="328"/>
      <c r="EXB13" s="328"/>
      <c r="EXD13" s="328"/>
      <c r="EXF13" s="328"/>
      <c r="EXH13" s="328"/>
      <c r="EXJ13" s="328"/>
      <c r="EXL13" s="328"/>
      <c r="EXN13" s="328"/>
      <c r="EXP13" s="328"/>
      <c r="EXR13" s="328"/>
      <c r="EXT13" s="328"/>
      <c r="EXV13" s="328"/>
      <c r="EXX13" s="328"/>
      <c r="EXZ13" s="328"/>
      <c r="EYB13" s="328"/>
      <c r="EYD13" s="328"/>
      <c r="EYF13" s="328"/>
      <c r="EYH13" s="328"/>
      <c r="EYJ13" s="328"/>
      <c r="EYL13" s="328"/>
      <c r="EYN13" s="328"/>
      <c r="EYP13" s="328"/>
      <c r="EYR13" s="328"/>
      <c r="EYT13" s="328"/>
      <c r="EYV13" s="328"/>
      <c r="EYX13" s="328"/>
      <c r="EYZ13" s="328"/>
      <c r="EZB13" s="328"/>
      <c r="EZD13" s="328"/>
      <c r="EZF13" s="328"/>
      <c r="EZH13" s="328"/>
      <c r="EZJ13" s="328"/>
      <c r="EZL13" s="328"/>
      <c r="EZN13" s="328"/>
      <c r="EZP13" s="328"/>
      <c r="EZR13" s="328"/>
      <c r="EZT13" s="328"/>
      <c r="EZV13" s="328"/>
      <c r="EZX13" s="328"/>
      <c r="EZZ13" s="328"/>
      <c r="FAB13" s="328"/>
      <c r="FAD13" s="328"/>
      <c r="FAF13" s="328"/>
      <c r="FAH13" s="328"/>
      <c r="FAJ13" s="328"/>
      <c r="FAL13" s="328"/>
      <c r="FAN13" s="328"/>
      <c r="FAP13" s="328"/>
      <c r="FAR13" s="328"/>
      <c r="FAT13" s="328"/>
      <c r="FAV13" s="328"/>
      <c r="FAX13" s="328"/>
      <c r="FAZ13" s="328"/>
      <c r="FBB13" s="328"/>
      <c r="FBD13" s="328"/>
      <c r="FBF13" s="328"/>
      <c r="FBH13" s="328"/>
      <c r="FBJ13" s="328"/>
      <c r="FBL13" s="328"/>
      <c r="FBN13" s="328"/>
      <c r="FBP13" s="328"/>
      <c r="FBR13" s="328"/>
      <c r="FBT13" s="328"/>
      <c r="FBV13" s="328"/>
      <c r="FBX13" s="328"/>
      <c r="FBZ13" s="328"/>
      <c r="FCB13" s="328"/>
      <c r="FCD13" s="328"/>
      <c r="FCF13" s="328"/>
      <c r="FCH13" s="328"/>
      <c r="FCJ13" s="328"/>
      <c r="FCL13" s="328"/>
      <c r="FCN13" s="328"/>
      <c r="FCP13" s="328"/>
      <c r="FCR13" s="328"/>
      <c r="FCT13" s="328"/>
      <c r="FCV13" s="328"/>
      <c r="FCX13" s="328"/>
      <c r="FCZ13" s="328"/>
      <c r="FDB13" s="328"/>
      <c r="FDD13" s="328"/>
      <c r="FDF13" s="328"/>
      <c r="FDH13" s="328"/>
      <c r="FDJ13" s="328"/>
      <c r="FDL13" s="328"/>
      <c r="FDN13" s="328"/>
      <c r="FDP13" s="328"/>
      <c r="FDR13" s="328"/>
      <c r="FDT13" s="328"/>
      <c r="FDV13" s="328"/>
      <c r="FDX13" s="328"/>
      <c r="FDZ13" s="328"/>
      <c r="FEB13" s="328"/>
      <c r="FED13" s="328"/>
      <c r="FEF13" s="328"/>
      <c r="FEH13" s="328"/>
      <c r="FEJ13" s="328"/>
      <c r="FEL13" s="328"/>
      <c r="FEN13" s="328"/>
      <c r="FEP13" s="328"/>
      <c r="FER13" s="328"/>
      <c r="FET13" s="328"/>
      <c r="FEV13" s="328"/>
      <c r="FEX13" s="328"/>
      <c r="FEZ13" s="328"/>
      <c r="FFB13" s="328"/>
      <c r="FFD13" s="328"/>
      <c r="FFF13" s="328"/>
      <c r="FFH13" s="328"/>
      <c r="FFJ13" s="328"/>
      <c r="FFL13" s="328"/>
      <c r="FFN13" s="328"/>
      <c r="FFP13" s="328"/>
      <c r="FFR13" s="328"/>
      <c r="FFT13" s="328"/>
      <c r="FFV13" s="328"/>
      <c r="FFX13" s="328"/>
      <c r="FFZ13" s="328"/>
      <c r="FGB13" s="328"/>
      <c r="FGD13" s="328"/>
      <c r="FGF13" s="328"/>
      <c r="FGH13" s="328"/>
      <c r="FGJ13" s="328"/>
      <c r="FGL13" s="328"/>
      <c r="FGN13" s="328"/>
      <c r="FGP13" s="328"/>
      <c r="FGR13" s="328"/>
      <c r="FGT13" s="328"/>
      <c r="FGV13" s="328"/>
      <c r="FGX13" s="328"/>
      <c r="FGZ13" s="328"/>
      <c r="FHB13" s="328"/>
      <c r="FHD13" s="328"/>
      <c r="FHF13" s="328"/>
      <c r="FHH13" s="328"/>
      <c r="FHJ13" s="328"/>
      <c r="FHL13" s="328"/>
      <c r="FHN13" s="328"/>
      <c r="FHP13" s="328"/>
      <c r="FHR13" s="328"/>
      <c r="FHT13" s="328"/>
      <c r="FHV13" s="328"/>
      <c r="FHX13" s="328"/>
      <c r="FHZ13" s="328"/>
      <c r="FIB13" s="328"/>
      <c r="FID13" s="328"/>
      <c r="FIF13" s="328"/>
      <c r="FIH13" s="328"/>
      <c r="FIJ13" s="328"/>
      <c r="FIL13" s="328"/>
      <c r="FIN13" s="328"/>
      <c r="FIP13" s="328"/>
      <c r="FIR13" s="328"/>
      <c r="FIT13" s="328"/>
      <c r="FIV13" s="328"/>
      <c r="FIX13" s="328"/>
      <c r="FIZ13" s="328"/>
      <c r="FJB13" s="328"/>
      <c r="FJD13" s="328"/>
      <c r="FJF13" s="328"/>
      <c r="FJH13" s="328"/>
      <c r="FJJ13" s="328"/>
      <c r="FJL13" s="328"/>
      <c r="FJN13" s="328"/>
      <c r="FJP13" s="328"/>
      <c r="FJR13" s="328"/>
      <c r="FJT13" s="328"/>
      <c r="FJV13" s="328"/>
      <c r="FJX13" s="328"/>
      <c r="FJZ13" s="328"/>
      <c r="FKB13" s="328"/>
      <c r="FKD13" s="328"/>
      <c r="FKF13" s="328"/>
      <c r="FKH13" s="328"/>
      <c r="FKJ13" s="328"/>
      <c r="FKL13" s="328"/>
      <c r="FKN13" s="328"/>
      <c r="FKP13" s="328"/>
      <c r="FKR13" s="328"/>
      <c r="FKT13" s="328"/>
      <c r="FKV13" s="328"/>
      <c r="FKX13" s="328"/>
      <c r="FKZ13" s="328"/>
      <c r="FLB13" s="328"/>
      <c r="FLD13" s="328"/>
      <c r="FLF13" s="328"/>
      <c r="FLH13" s="328"/>
      <c r="FLJ13" s="328"/>
      <c r="FLL13" s="328"/>
      <c r="FLN13" s="328"/>
      <c r="FLP13" s="328"/>
      <c r="FLR13" s="328"/>
      <c r="FLT13" s="328"/>
      <c r="FLV13" s="328"/>
      <c r="FLX13" s="328"/>
      <c r="FLZ13" s="328"/>
      <c r="FMB13" s="328"/>
      <c r="FMD13" s="328"/>
      <c r="FMF13" s="328"/>
      <c r="FMH13" s="328"/>
      <c r="FMJ13" s="328"/>
      <c r="FML13" s="328"/>
      <c r="FMN13" s="328"/>
      <c r="FMP13" s="328"/>
      <c r="FMR13" s="328"/>
      <c r="FMT13" s="328"/>
      <c r="FMV13" s="328"/>
      <c r="FMX13" s="328"/>
      <c r="FMZ13" s="328"/>
      <c r="FNB13" s="328"/>
      <c r="FND13" s="328"/>
      <c r="FNF13" s="328"/>
      <c r="FNH13" s="328"/>
      <c r="FNJ13" s="328"/>
      <c r="FNL13" s="328"/>
      <c r="FNN13" s="328"/>
      <c r="FNP13" s="328"/>
      <c r="FNR13" s="328"/>
      <c r="FNT13" s="328"/>
      <c r="FNV13" s="328"/>
      <c r="FNX13" s="328"/>
      <c r="FNZ13" s="328"/>
      <c r="FOB13" s="328"/>
      <c r="FOD13" s="328"/>
      <c r="FOF13" s="328"/>
      <c r="FOH13" s="328"/>
      <c r="FOJ13" s="328"/>
      <c r="FOL13" s="328"/>
      <c r="FON13" s="328"/>
      <c r="FOP13" s="328"/>
      <c r="FOR13" s="328"/>
      <c r="FOT13" s="328"/>
      <c r="FOV13" s="328"/>
      <c r="FOX13" s="328"/>
      <c r="FOZ13" s="328"/>
      <c r="FPB13" s="328"/>
      <c r="FPD13" s="328"/>
      <c r="FPF13" s="328"/>
      <c r="FPH13" s="328"/>
      <c r="FPJ13" s="328"/>
      <c r="FPL13" s="328"/>
      <c r="FPN13" s="328"/>
      <c r="FPP13" s="328"/>
      <c r="FPR13" s="328"/>
      <c r="FPT13" s="328"/>
      <c r="FPV13" s="328"/>
      <c r="FPX13" s="328"/>
      <c r="FPZ13" s="328"/>
      <c r="FQB13" s="328"/>
      <c r="FQD13" s="328"/>
      <c r="FQF13" s="328"/>
      <c r="FQH13" s="328"/>
      <c r="FQJ13" s="328"/>
      <c r="FQL13" s="328"/>
      <c r="FQN13" s="328"/>
      <c r="FQP13" s="328"/>
      <c r="FQR13" s="328"/>
      <c r="FQT13" s="328"/>
      <c r="FQV13" s="328"/>
      <c r="FQX13" s="328"/>
      <c r="FQZ13" s="328"/>
      <c r="FRB13" s="328"/>
      <c r="FRD13" s="328"/>
      <c r="FRF13" s="328"/>
      <c r="FRH13" s="328"/>
      <c r="FRJ13" s="328"/>
      <c r="FRL13" s="328"/>
      <c r="FRN13" s="328"/>
      <c r="FRP13" s="328"/>
      <c r="FRR13" s="328"/>
      <c r="FRT13" s="328"/>
      <c r="FRV13" s="328"/>
      <c r="FRX13" s="328"/>
      <c r="FRZ13" s="328"/>
      <c r="FSB13" s="328"/>
      <c r="FSD13" s="328"/>
      <c r="FSF13" s="328"/>
      <c r="FSH13" s="328"/>
      <c r="FSJ13" s="328"/>
      <c r="FSL13" s="328"/>
      <c r="FSN13" s="328"/>
      <c r="FSP13" s="328"/>
      <c r="FSR13" s="328"/>
      <c r="FST13" s="328"/>
      <c r="FSV13" s="328"/>
      <c r="FSX13" s="328"/>
      <c r="FSZ13" s="328"/>
      <c r="FTB13" s="328"/>
      <c r="FTD13" s="328"/>
      <c r="FTF13" s="328"/>
      <c r="FTH13" s="328"/>
      <c r="FTJ13" s="328"/>
      <c r="FTL13" s="328"/>
      <c r="FTN13" s="328"/>
      <c r="FTP13" s="328"/>
      <c r="FTR13" s="328"/>
      <c r="FTT13" s="328"/>
      <c r="FTV13" s="328"/>
      <c r="FTX13" s="328"/>
      <c r="FTZ13" s="328"/>
      <c r="FUB13" s="328"/>
      <c r="FUD13" s="328"/>
      <c r="FUF13" s="328"/>
      <c r="FUH13" s="328"/>
      <c r="FUJ13" s="328"/>
      <c r="FUL13" s="328"/>
      <c r="FUN13" s="328"/>
      <c r="FUP13" s="328"/>
      <c r="FUR13" s="328"/>
      <c r="FUT13" s="328"/>
      <c r="FUV13" s="328"/>
      <c r="FUX13" s="328"/>
      <c r="FUZ13" s="328"/>
      <c r="FVB13" s="328"/>
      <c r="FVD13" s="328"/>
      <c r="FVF13" s="328"/>
      <c r="FVH13" s="328"/>
      <c r="FVJ13" s="328"/>
      <c r="FVL13" s="328"/>
      <c r="FVN13" s="328"/>
      <c r="FVP13" s="328"/>
      <c r="FVR13" s="328"/>
      <c r="FVT13" s="328"/>
      <c r="FVV13" s="328"/>
      <c r="FVX13" s="328"/>
      <c r="FVZ13" s="328"/>
      <c r="FWB13" s="328"/>
      <c r="FWD13" s="328"/>
      <c r="FWF13" s="328"/>
      <c r="FWH13" s="328"/>
      <c r="FWJ13" s="328"/>
      <c r="FWL13" s="328"/>
      <c r="FWN13" s="328"/>
      <c r="FWP13" s="328"/>
      <c r="FWR13" s="328"/>
      <c r="FWT13" s="328"/>
      <c r="FWV13" s="328"/>
      <c r="FWX13" s="328"/>
      <c r="FWZ13" s="328"/>
      <c r="FXB13" s="328"/>
      <c r="FXD13" s="328"/>
      <c r="FXF13" s="328"/>
      <c r="FXH13" s="328"/>
      <c r="FXJ13" s="328"/>
      <c r="FXL13" s="328"/>
      <c r="FXN13" s="328"/>
      <c r="FXP13" s="328"/>
      <c r="FXR13" s="328"/>
      <c r="FXT13" s="328"/>
      <c r="FXV13" s="328"/>
      <c r="FXX13" s="328"/>
      <c r="FXZ13" s="328"/>
      <c r="FYB13" s="328"/>
      <c r="FYD13" s="328"/>
      <c r="FYF13" s="328"/>
      <c r="FYH13" s="328"/>
      <c r="FYJ13" s="328"/>
      <c r="FYL13" s="328"/>
      <c r="FYN13" s="328"/>
      <c r="FYP13" s="328"/>
      <c r="FYR13" s="328"/>
      <c r="FYT13" s="328"/>
      <c r="FYV13" s="328"/>
      <c r="FYX13" s="328"/>
      <c r="FYZ13" s="328"/>
      <c r="FZB13" s="328"/>
      <c r="FZD13" s="328"/>
      <c r="FZF13" s="328"/>
      <c r="FZH13" s="328"/>
      <c r="FZJ13" s="328"/>
      <c r="FZL13" s="328"/>
      <c r="FZN13" s="328"/>
      <c r="FZP13" s="328"/>
      <c r="FZR13" s="328"/>
      <c r="FZT13" s="328"/>
      <c r="FZV13" s="328"/>
      <c r="FZX13" s="328"/>
      <c r="FZZ13" s="328"/>
      <c r="GAB13" s="328"/>
      <c r="GAD13" s="328"/>
      <c r="GAF13" s="328"/>
      <c r="GAH13" s="328"/>
      <c r="GAJ13" s="328"/>
      <c r="GAL13" s="328"/>
      <c r="GAN13" s="328"/>
      <c r="GAP13" s="328"/>
      <c r="GAR13" s="328"/>
      <c r="GAT13" s="328"/>
      <c r="GAV13" s="328"/>
      <c r="GAX13" s="328"/>
      <c r="GAZ13" s="328"/>
      <c r="GBB13" s="328"/>
      <c r="GBD13" s="328"/>
      <c r="GBF13" s="328"/>
      <c r="GBH13" s="328"/>
      <c r="GBJ13" s="328"/>
      <c r="GBL13" s="328"/>
      <c r="GBN13" s="328"/>
      <c r="GBP13" s="328"/>
      <c r="GBR13" s="328"/>
      <c r="GBT13" s="328"/>
      <c r="GBV13" s="328"/>
      <c r="GBX13" s="328"/>
      <c r="GBZ13" s="328"/>
      <c r="GCB13" s="328"/>
      <c r="GCD13" s="328"/>
      <c r="GCF13" s="328"/>
      <c r="GCH13" s="328"/>
      <c r="GCJ13" s="328"/>
      <c r="GCL13" s="328"/>
      <c r="GCN13" s="328"/>
      <c r="GCP13" s="328"/>
      <c r="GCR13" s="328"/>
      <c r="GCT13" s="328"/>
      <c r="GCV13" s="328"/>
      <c r="GCX13" s="328"/>
      <c r="GCZ13" s="328"/>
      <c r="GDB13" s="328"/>
      <c r="GDD13" s="328"/>
      <c r="GDF13" s="328"/>
      <c r="GDH13" s="328"/>
      <c r="GDJ13" s="328"/>
      <c r="GDL13" s="328"/>
      <c r="GDN13" s="328"/>
      <c r="GDP13" s="328"/>
      <c r="GDR13" s="328"/>
      <c r="GDT13" s="328"/>
      <c r="GDV13" s="328"/>
      <c r="GDX13" s="328"/>
      <c r="GDZ13" s="328"/>
      <c r="GEB13" s="328"/>
      <c r="GED13" s="328"/>
      <c r="GEF13" s="328"/>
      <c r="GEH13" s="328"/>
      <c r="GEJ13" s="328"/>
      <c r="GEL13" s="328"/>
      <c r="GEN13" s="328"/>
      <c r="GEP13" s="328"/>
      <c r="GER13" s="328"/>
      <c r="GET13" s="328"/>
      <c r="GEV13" s="328"/>
      <c r="GEX13" s="328"/>
      <c r="GEZ13" s="328"/>
      <c r="GFB13" s="328"/>
      <c r="GFD13" s="328"/>
      <c r="GFF13" s="328"/>
      <c r="GFH13" s="328"/>
      <c r="GFJ13" s="328"/>
      <c r="GFL13" s="328"/>
      <c r="GFN13" s="328"/>
      <c r="GFP13" s="328"/>
      <c r="GFR13" s="328"/>
      <c r="GFT13" s="328"/>
      <c r="GFV13" s="328"/>
      <c r="GFX13" s="328"/>
      <c r="GFZ13" s="328"/>
      <c r="GGB13" s="328"/>
      <c r="GGD13" s="328"/>
      <c r="GGF13" s="328"/>
      <c r="GGH13" s="328"/>
      <c r="GGJ13" s="328"/>
      <c r="GGL13" s="328"/>
      <c r="GGN13" s="328"/>
      <c r="GGP13" s="328"/>
      <c r="GGR13" s="328"/>
      <c r="GGT13" s="328"/>
      <c r="GGV13" s="328"/>
      <c r="GGX13" s="328"/>
      <c r="GGZ13" s="328"/>
      <c r="GHB13" s="328"/>
      <c r="GHD13" s="328"/>
      <c r="GHF13" s="328"/>
      <c r="GHH13" s="328"/>
      <c r="GHJ13" s="328"/>
      <c r="GHL13" s="328"/>
      <c r="GHN13" s="328"/>
      <c r="GHP13" s="328"/>
      <c r="GHR13" s="328"/>
      <c r="GHT13" s="328"/>
      <c r="GHV13" s="328"/>
      <c r="GHX13" s="328"/>
      <c r="GHZ13" s="328"/>
      <c r="GIB13" s="328"/>
      <c r="GID13" s="328"/>
      <c r="GIF13" s="328"/>
      <c r="GIH13" s="328"/>
      <c r="GIJ13" s="328"/>
      <c r="GIL13" s="328"/>
      <c r="GIN13" s="328"/>
      <c r="GIP13" s="328"/>
      <c r="GIR13" s="328"/>
      <c r="GIT13" s="328"/>
      <c r="GIV13" s="328"/>
      <c r="GIX13" s="328"/>
      <c r="GIZ13" s="328"/>
      <c r="GJB13" s="328"/>
      <c r="GJD13" s="328"/>
      <c r="GJF13" s="328"/>
      <c r="GJH13" s="328"/>
      <c r="GJJ13" s="328"/>
      <c r="GJL13" s="328"/>
      <c r="GJN13" s="328"/>
      <c r="GJP13" s="328"/>
      <c r="GJR13" s="328"/>
      <c r="GJT13" s="328"/>
      <c r="GJV13" s="328"/>
      <c r="GJX13" s="328"/>
      <c r="GJZ13" s="328"/>
      <c r="GKB13" s="328"/>
      <c r="GKD13" s="328"/>
      <c r="GKF13" s="328"/>
      <c r="GKH13" s="328"/>
      <c r="GKJ13" s="328"/>
      <c r="GKL13" s="328"/>
      <c r="GKN13" s="328"/>
      <c r="GKP13" s="328"/>
      <c r="GKR13" s="328"/>
      <c r="GKT13" s="328"/>
      <c r="GKV13" s="328"/>
      <c r="GKX13" s="328"/>
      <c r="GKZ13" s="328"/>
      <c r="GLB13" s="328"/>
      <c r="GLD13" s="328"/>
      <c r="GLF13" s="328"/>
      <c r="GLH13" s="328"/>
      <c r="GLJ13" s="328"/>
      <c r="GLL13" s="328"/>
      <c r="GLN13" s="328"/>
      <c r="GLP13" s="328"/>
      <c r="GLR13" s="328"/>
      <c r="GLT13" s="328"/>
      <c r="GLV13" s="328"/>
      <c r="GLX13" s="328"/>
      <c r="GLZ13" s="328"/>
      <c r="GMB13" s="328"/>
      <c r="GMD13" s="328"/>
      <c r="GMF13" s="328"/>
      <c r="GMH13" s="328"/>
      <c r="GMJ13" s="328"/>
      <c r="GML13" s="328"/>
      <c r="GMN13" s="328"/>
      <c r="GMP13" s="328"/>
      <c r="GMR13" s="328"/>
      <c r="GMT13" s="328"/>
      <c r="GMV13" s="328"/>
      <c r="GMX13" s="328"/>
      <c r="GMZ13" s="328"/>
      <c r="GNB13" s="328"/>
      <c r="GND13" s="328"/>
      <c r="GNF13" s="328"/>
      <c r="GNH13" s="328"/>
      <c r="GNJ13" s="328"/>
      <c r="GNL13" s="328"/>
      <c r="GNN13" s="328"/>
      <c r="GNP13" s="328"/>
      <c r="GNR13" s="328"/>
      <c r="GNT13" s="328"/>
      <c r="GNV13" s="328"/>
      <c r="GNX13" s="328"/>
      <c r="GNZ13" s="328"/>
      <c r="GOB13" s="328"/>
      <c r="GOD13" s="328"/>
      <c r="GOF13" s="328"/>
      <c r="GOH13" s="328"/>
      <c r="GOJ13" s="328"/>
      <c r="GOL13" s="328"/>
      <c r="GON13" s="328"/>
      <c r="GOP13" s="328"/>
      <c r="GOR13" s="328"/>
      <c r="GOT13" s="328"/>
      <c r="GOV13" s="328"/>
      <c r="GOX13" s="328"/>
      <c r="GOZ13" s="328"/>
      <c r="GPB13" s="328"/>
      <c r="GPD13" s="328"/>
      <c r="GPF13" s="328"/>
      <c r="GPH13" s="328"/>
      <c r="GPJ13" s="328"/>
      <c r="GPL13" s="328"/>
      <c r="GPN13" s="328"/>
      <c r="GPP13" s="328"/>
      <c r="GPR13" s="328"/>
      <c r="GPT13" s="328"/>
      <c r="GPV13" s="328"/>
      <c r="GPX13" s="328"/>
      <c r="GPZ13" s="328"/>
      <c r="GQB13" s="328"/>
      <c r="GQD13" s="328"/>
      <c r="GQF13" s="328"/>
      <c r="GQH13" s="328"/>
      <c r="GQJ13" s="328"/>
      <c r="GQL13" s="328"/>
      <c r="GQN13" s="328"/>
      <c r="GQP13" s="328"/>
      <c r="GQR13" s="328"/>
      <c r="GQT13" s="328"/>
      <c r="GQV13" s="328"/>
      <c r="GQX13" s="328"/>
      <c r="GQZ13" s="328"/>
      <c r="GRB13" s="328"/>
      <c r="GRD13" s="328"/>
      <c r="GRF13" s="328"/>
      <c r="GRH13" s="328"/>
      <c r="GRJ13" s="328"/>
      <c r="GRL13" s="328"/>
      <c r="GRN13" s="328"/>
      <c r="GRP13" s="328"/>
      <c r="GRR13" s="328"/>
      <c r="GRT13" s="328"/>
      <c r="GRV13" s="328"/>
      <c r="GRX13" s="328"/>
      <c r="GRZ13" s="328"/>
      <c r="GSB13" s="328"/>
      <c r="GSD13" s="328"/>
      <c r="GSF13" s="328"/>
      <c r="GSH13" s="328"/>
      <c r="GSJ13" s="328"/>
      <c r="GSL13" s="328"/>
      <c r="GSN13" s="328"/>
      <c r="GSP13" s="328"/>
      <c r="GSR13" s="328"/>
      <c r="GST13" s="328"/>
      <c r="GSV13" s="328"/>
      <c r="GSX13" s="328"/>
      <c r="GSZ13" s="328"/>
      <c r="GTB13" s="328"/>
      <c r="GTD13" s="328"/>
      <c r="GTF13" s="328"/>
      <c r="GTH13" s="328"/>
      <c r="GTJ13" s="328"/>
      <c r="GTL13" s="328"/>
      <c r="GTN13" s="328"/>
      <c r="GTP13" s="328"/>
      <c r="GTR13" s="328"/>
      <c r="GTT13" s="328"/>
      <c r="GTV13" s="328"/>
      <c r="GTX13" s="328"/>
      <c r="GTZ13" s="328"/>
      <c r="GUB13" s="328"/>
      <c r="GUD13" s="328"/>
      <c r="GUF13" s="328"/>
      <c r="GUH13" s="328"/>
      <c r="GUJ13" s="328"/>
      <c r="GUL13" s="328"/>
      <c r="GUN13" s="328"/>
      <c r="GUP13" s="328"/>
      <c r="GUR13" s="328"/>
      <c r="GUT13" s="328"/>
      <c r="GUV13" s="328"/>
      <c r="GUX13" s="328"/>
      <c r="GUZ13" s="328"/>
      <c r="GVB13" s="328"/>
      <c r="GVD13" s="328"/>
      <c r="GVF13" s="328"/>
      <c r="GVH13" s="328"/>
      <c r="GVJ13" s="328"/>
      <c r="GVL13" s="328"/>
      <c r="GVN13" s="328"/>
      <c r="GVP13" s="328"/>
      <c r="GVR13" s="328"/>
      <c r="GVT13" s="328"/>
      <c r="GVV13" s="328"/>
      <c r="GVX13" s="328"/>
      <c r="GVZ13" s="328"/>
      <c r="GWB13" s="328"/>
      <c r="GWD13" s="328"/>
      <c r="GWF13" s="328"/>
      <c r="GWH13" s="328"/>
      <c r="GWJ13" s="328"/>
      <c r="GWL13" s="328"/>
      <c r="GWN13" s="328"/>
      <c r="GWP13" s="328"/>
      <c r="GWR13" s="328"/>
      <c r="GWT13" s="328"/>
      <c r="GWV13" s="328"/>
      <c r="GWX13" s="328"/>
      <c r="GWZ13" s="328"/>
      <c r="GXB13" s="328"/>
      <c r="GXD13" s="328"/>
      <c r="GXF13" s="328"/>
      <c r="GXH13" s="328"/>
      <c r="GXJ13" s="328"/>
      <c r="GXL13" s="328"/>
      <c r="GXN13" s="328"/>
      <c r="GXP13" s="328"/>
      <c r="GXR13" s="328"/>
      <c r="GXT13" s="328"/>
      <c r="GXV13" s="328"/>
      <c r="GXX13" s="328"/>
      <c r="GXZ13" s="328"/>
      <c r="GYB13" s="328"/>
      <c r="GYD13" s="328"/>
      <c r="GYF13" s="328"/>
      <c r="GYH13" s="328"/>
      <c r="GYJ13" s="328"/>
      <c r="GYL13" s="328"/>
      <c r="GYN13" s="328"/>
      <c r="GYP13" s="328"/>
      <c r="GYR13" s="328"/>
      <c r="GYT13" s="328"/>
      <c r="GYV13" s="328"/>
      <c r="GYX13" s="328"/>
      <c r="GYZ13" s="328"/>
      <c r="GZB13" s="328"/>
      <c r="GZD13" s="328"/>
      <c r="GZF13" s="328"/>
      <c r="GZH13" s="328"/>
      <c r="GZJ13" s="328"/>
      <c r="GZL13" s="328"/>
      <c r="GZN13" s="328"/>
      <c r="GZP13" s="328"/>
      <c r="GZR13" s="328"/>
      <c r="GZT13" s="328"/>
      <c r="GZV13" s="328"/>
      <c r="GZX13" s="328"/>
      <c r="GZZ13" s="328"/>
      <c r="HAB13" s="328"/>
      <c r="HAD13" s="328"/>
      <c r="HAF13" s="328"/>
      <c r="HAH13" s="328"/>
      <c r="HAJ13" s="328"/>
      <c r="HAL13" s="328"/>
      <c r="HAN13" s="328"/>
      <c r="HAP13" s="328"/>
      <c r="HAR13" s="328"/>
      <c r="HAT13" s="328"/>
      <c r="HAV13" s="328"/>
      <c r="HAX13" s="328"/>
      <c r="HAZ13" s="328"/>
      <c r="HBB13" s="328"/>
      <c r="HBD13" s="328"/>
      <c r="HBF13" s="328"/>
      <c r="HBH13" s="328"/>
      <c r="HBJ13" s="328"/>
      <c r="HBL13" s="328"/>
      <c r="HBN13" s="328"/>
      <c r="HBP13" s="328"/>
      <c r="HBR13" s="328"/>
      <c r="HBT13" s="328"/>
      <c r="HBV13" s="328"/>
      <c r="HBX13" s="328"/>
      <c r="HBZ13" s="328"/>
      <c r="HCB13" s="328"/>
      <c r="HCD13" s="328"/>
      <c r="HCF13" s="328"/>
      <c r="HCH13" s="328"/>
      <c r="HCJ13" s="328"/>
      <c r="HCL13" s="328"/>
      <c r="HCN13" s="328"/>
      <c r="HCP13" s="328"/>
      <c r="HCR13" s="328"/>
      <c r="HCT13" s="328"/>
      <c r="HCV13" s="328"/>
      <c r="HCX13" s="328"/>
      <c r="HCZ13" s="328"/>
      <c r="HDB13" s="328"/>
      <c r="HDD13" s="328"/>
      <c r="HDF13" s="328"/>
      <c r="HDH13" s="328"/>
      <c r="HDJ13" s="328"/>
      <c r="HDL13" s="328"/>
      <c r="HDN13" s="328"/>
      <c r="HDP13" s="328"/>
      <c r="HDR13" s="328"/>
      <c r="HDT13" s="328"/>
      <c r="HDV13" s="328"/>
      <c r="HDX13" s="328"/>
      <c r="HDZ13" s="328"/>
      <c r="HEB13" s="328"/>
      <c r="HED13" s="328"/>
      <c r="HEF13" s="328"/>
      <c r="HEH13" s="328"/>
      <c r="HEJ13" s="328"/>
      <c r="HEL13" s="328"/>
      <c r="HEN13" s="328"/>
      <c r="HEP13" s="328"/>
      <c r="HER13" s="328"/>
      <c r="HET13" s="328"/>
      <c r="HEV13" s="328"/>
      <c r="HEX13" s="328"/>
      <c r="HEZ13" s="328"/>
      <c r="HFB13" s="328"/>
      <c r="HFD13" s="328"/>
      <c r="HFF13" s="328"/>
      <c r="HFH13" s="328"/>
      <c r="HFJ13" s="328"/>
      <c r="HFL13" s="328"/>
      <c r="HFN13" s="328"/>
      <c r="HFP13" s="328"/>
      <c r="HFR13" s="328"/>
      <c r="HFT13" s="328"/>
      <c r="HFV13" s="328"/>
      <c r="HFX13" s="328"/>
      <c r="HFZ13" s="328"/>
      <c r="HGB13" s="328"/>
      <c r="HGD13" s="328"/>
      <c r="HGF13" s="328"/>
      <c r="HGH13" s="328"/>
      <c r="HGJ13" s="328"/>
      <c r="HGL13" s="328"/>
      <c r="HGN13" s="328"/>
      <c r="HGP13" s="328"/>
      <c r="HGR13" s="328"/>
      <c r="HGT13" s="328"/>
      <c r="HGV13" s="328"/>
      <c r="HGX13" s="328"/>
      <c r="HGZ13" s="328"/>
      <c r="HHB13" s="328"/>
      <c r="HHD13" s="328"/>
      <c r="HHF13" s="328"/>
      <c r="HHH13" s="328"/>
      <c r="HHJ13" s="328"/>
      <c r="HHL13" s="328"/>
      <c r="HHN13" s="328"/>
      <c r="HHP13" s="328"/>
      <c r="HHR13" s="328"/>
      <c r="HHT13" s="328"/>
      <c r="HHV13" s="328"/>
      <c r="HHX13" s="328"/>
      <c r="HHZ13" s="328"/>
      <c r="HIB13" s="328"/>
      <c r="HID13" s="328"/>
      <c r="HIF13" s="328"/>
      <c r="HIH13" s="328"/>
      <c r="HIJ13" s="328"/>
      <c r="HIL13" s="328"/>
      <c r="HIN13" s="328"/>
      <c r="HIP13" s="328"/>
      <c r="HIR13" s="328"/>
      <c r="HIT13" s="328"/>
      <c r="HIV13" s="328"/>
      <c r="HIX13" s="328"/>
      <c r="HIZ13" s="328"/>
      <c r="HJB13" s="328"/>
      <c r="HJD13" s="328"/>
      <c r="HJF13" s="328"/>
      <c r="HJH13" s="328"/>
      <c r="HJJ13" s="328"/>
      <c r="HJL13" s="328"/>
      <c r="HJN13" s="328"/>
      <c r="HJP13" s="328"/>
      <c r="HJR13" s="328"/>
      <c r="HJT13" s="328"/>
      <c r="HJV13" s="328"/>
      <c r="HJX13" s="328"/>
      <c r="HJZ13" s="328"/>
      <c r="HKB13" s="328"/>
      <c r="HKD13" s="328"/>
      <c r="HKF13" s="328"/>
      <c r="HKH13" s="328"/>
      <c r="HKJ13" s="328"/>
      <c r="HKL13" s="328"/>
      <c r="HKN13" s="328"/>
      <c r="HKP13" s="328"/>
      <c r="HKR13" s="328"/>
      <c r="HKT13" s="328"/>
      <c r="HKV13" s="328"/>
      <c r="HKX13" s="328"/>
      <c r="HKZ13" s="328"/>
      <c r="HLB13" s="328"/>
      <c r="HLD13" s="328"/>
      <c r="HLF13" s="328"/>
      <c r="HLH13" s="328"/>
      <c r="HLJ13" s="328"/>
      <c r="HLL13" s="328"/>
      <c r="HLN13" s="328"/>
      <c r="HLP13" s="328"/>
      <c r="HLR13" s="328"/>
      <c r="HLT13" s="328"/>
      <c r="HLV13" s="328"/>
      <c r="HLX13" s="328"/>
      <c r="HLZ13" s="328"/>
      <c r="HMB13" s="328"/>
      <c r="HMD13" s="328"/>
      <c r="HMF13" s="328"/>
      <c r="HMH13" s="328"/>
      <c r="HMJ13" s="328"/>
      <c r="HML13" s="328"/>
      <c r="HMN13" s="328"/>
      <c r="HMP13" s="328"/>
      <c r="HMR13" s="328"/>
      <c r="HMT13" s="328"/>
      <c r="HMV13" s="328"/>
      <c r="HMX13" s="328"/>
      <c r="HMZ13" s="328"/>
      <c r="HNB13" s="328"/>
      <c r="HND13" s="328"/>
      <c r="HNF13" s="328"/>
      <c r="HNH13" s="328"/>
      <c r="HNJ13" s="328"/>
      <c r="HNL13" s="328"/>
      <c r="HNN13" s="328"/>
      <c r="HNP13" s="328"/>
      <c r="HNR13" s="328"/>
      <c r="HNT13" s="328"/>
      <c r="HNV13" s="328"/>
      <c r="HNX13" s="328"/>
      <c r="HNZ13" s="328"/>
      <c r="HOB13" s="328"/>
      <c r="HOD13" s="328"/>
      <c r="HOF13" s="328"/>
      <c r="HOH13" s="328"/>
      <c r="HOJ13" s="328"/>
      <c r="HOL13" s="328"/>
      <c r="HON13" s="328"/>
      <c r="HOP13" s="328"/>
      <c r="HOR13" s="328"/>
      <c r="HOT13" s="328"/>
      <c r="HOV13" s="328"/>
      <c r="HOX13" s="328"/>
      <c r="HOZ13" s="328"/>
      <c r="HPB13" s="328"/>
      <c r="HPD13" s="328"/>
      <c r="HPF13" s="328"/>
      <c r="HPH13" s="328"/>
      <c r="HPJ13" s="328"/>
      <c r="HPL13" s="328"/>
      <c r="HPN13" s="328"/>
      <c r="HPP13" s="328"/>
      <c r="HPR13" s="328"/>
      <c r="HPT13" s="328"/>
      <c r="HPV13" s="328"/>
      <c r="HPX13" s="328"/>
      <c r="HPZ13" s="328"/>
      <c r="HQB13" s="328"/>
      <c r="HQD13" s="328"/>
      <c r="HQF13" s="328"/>
      <c r="HQH13" s="328"/>
      <c r="HQJ13" s="328"/>
      <c r="HQL13" s="328"/>
      <c r="HQN13" s="328"/>
      <c r="HQP13" s="328"/>
      <c r="HQR13" s="328"/>
      <c r="HQT13" s="328"/>
      <c r="HQV13" s="328"/>
      <c r="HQX13" s="328"/>
      <c r="HQZ13" s="328"/>
      <c r="HRB13" s="328"/>
      <c r="HRD13" s="328"/>
      <c r="HRF13" s="328"/>
      <c r="HRH13" s="328"/>
      <c r="HRJ13" s="328"/>
      <c r="HRL13" s="328"/>
      <c r="HRN13" s="328"/>
      <c r="HRP13" s="328"/>
      <c r="HRR13" s="328"/>
      <c r="HRT13" s="328"/>
      <c r="HRV13" s="328"/>
      <c r="HRX13" s="328"/>
      <c r="HRZ13" s="328"/>
      <c r="HSB13" s="328"/>
      <c r="HSD13" s="328"/>
      <c r="HSF13" s="328"/>
      <c r="HSH13" s="328"/>
      <c r="HSJ13" s="328"/>
      <c r="HSL13" s="328"/>
      <c r="HSN13" s="328"/>
      <c r="HSP13" s="328"/>
      <c r="HSR13" s="328"/>
      <c r="HST13" s="328"/>
      <c r="HSV13" s="328"/>
      <c r="HSX13" s="328"/>
      <c r="HSZ13" s="328"/>
      <c r="HTB13" s="328"/>
      <c r="HTD13" s="328"/>
      <c r="HTF13" s="328"/>
      <c r="HTH13" s="328"/>
      <c r="HTJ13" s="328"/>
      <c r="HTL13" s="328"/>
      <c r="HTN13" s="328"/>
      <c r="HTP13" s="328"/>
      <c r="HTR13" s="328"/>
      <c r="HTT13" s="328"/>
      <c r="HTV13" s="328"/>
      <c r="HTX13" s="328"/>
      <c r="HTZ13" s="328"/>
      <c r="HUB13" s="328"/>
      <c r="HUD13" s="328"/>
      <c r="HUF13" s="328"/>
      <c r="HUH13" s="328"/>
      <c r="HUJ13" s="328"/>
      <c r="HUL13" s="328"/>
      <c r="HUN13" s="328"/>
      <c r="HUP13" s="328"/>
      <c r="HUR13" s="328"/>
      <c r="HUT13" s="328"/>
      <c r="HUV13" s="328"/>
      <c r="HUX13" s="328"/>
      <c r="HUZ13" s="328"/>
      <c r="HVB13" s="328"/>
      <c r="HVD13" s="328"/>
      <c r="HVF13" s="328"/>
      <c r="HVH13" s="328"/>
      <c r="HVJ13" s="328"/>
      <c r="HVL13" s="328"/>
      <c r="HVN13" s="328"/>
      <c r="HVP13" s="328"/>
      <c r="HVR13" s="328"/>
      <c r="HVT13" s="328"/>
      <c r="HVV13" s="328"/>
      <c r="HVX13" s="328"/>
      <c r="HVZ13" s="328"/>
      <c r="HWB13" s="328"/>
      <c r="HWD13" s="328"/>
      <c r="HWF13" s="328"/>
      <c r="HWH13" s="328"/>
      <c r="HWJ13" s="328"/>
      <c r="HWL13" s="328"/>
      <c r="HWN13" s="328"/>
      <c r="HWP13" s="328"/>
      <c r="HWR13" s="328"/>
      <c r="HWT13" s="328"/>
      <c r="HWV13" s="328"/>
      <c r="HWX13" s="328"/>
      <c r="HWZ13" s="328"/>
      <c r="HXB13" s="328"/>
      <c r="HXD13" s="328"/>
      <c r="HXF13" s="328"/>
      <c r="HXH13" s="328"/>
      <c r="HXJ13" s="328"/>
      <c r="HXL13" s="328"/>
      <c r="HXN13" s="328"/>
      <c r="HXP13" s="328"/>
      <c r="HXR13" s="328"/>
      <c r="HXT13" s="328"/>
      <c r="HXV13" s="328"/>
      <c r="HXX13" s="328"/>
      <c r="HXZ13" s="328"/>
      <c r="HYB13" s="328"/>
      <c r="HYD13" s="328"/>
      <c r="HYF13" s="328"/>
      <c r="HYH13" s="328"/>
      <c r="HYJ13" s="328"/>
      <c r="HYL13" s="328"/>
      <c r="HYN13" s="328"/>
      <c r="HYP13" s="328"/>
      <c r="HYR13" s="328"/>
      <c r="HYT13" s="328"/>
      <c r="HYV13" s="328"/>
      <c r="HYX13" s="328"/>
      <c r="HYZ13" s="328"/>
      <c r="HZB13" s="328"/>
      <c r="HZD13" s="328"/>
      <c r="HZF13" s="328"/>
      <c r="HZH13" s="328"/>
      <c r="HZJ13" s="328"/>
      <c r="HZL13" s="328"/>
      <c r="HZN13" s="328"/>
      <c r="HZP13" s="328"/>
      <c r="HZR13" s="328"/>
      <c r="HZT13" s="328"/>
      <c r="HZV13" s="328"/>
      <c r="HZX13" s="328"/>
      <c r="HZZ13" s="328"/>
      <c r="IAB13" s="328"/>
      <c r="IAD13" s="328"/>
      <c r="IAF13" s="328"/>
      <c r="IAH13" s="328"/>
      <c r="IAJ13" s="328"/>
      <c r="IAL13" s="328"/>
      <c r="IAN13" s="328"/>
      <c r="IAP13" s="328"/>
      <c r="IAR13" s="328"/>
      <c r="IAT13" s="328"/>
      <c r="IAV13" s="328"/>
      <c r="IAX13" s="328"/>
      <c r="IAZ13" s="328"/>
      <c r="IBB13" s="328"/>
      <c r="IBD13" s="328"/>
      <c r="IBF13" s="328"/>
      <c r="IBH13" s="328"/>
      <c r="IBJ13" s="328"/>
      <c r="IBL13" s="328"/>
      <c r="IBN13" s="328"/>
      <c r="IBP13" s="328"/>
      <c r="IBR13" s="328"/>
      <c r="IBT13" s="328"/>
      <c r="IBV13" s="328"/>
      <c r="IBX13" s="328"/>
      <c r="IBZ13" s="328"/>
      <c r="ICB13" s="328"/>
      <c r="ICD13" s="328"/>
      <c r="ICF13" s="328"/>
      <c r="ICH13" s="328"/>
      <c r="ICJ13" s="328"/>
      <c r="ICL13" s="328"/>
      <c r="ICN13" s="328"/>
      <c r="ICP13" s="328"/>
      <c r="ICR13" s="328"/>
      <c r="ICT13" s="328"/>
      <c r="ICV13" s="328"/>
      <c r="ICX13" s="328"/>
      <c r="ICZ13" s="328"/>
      <c r="IDB13" s="328"/>
      <c r="IDD13" s="328"/>
      <c r="IDF13" s="328"/>
      <c r="IDH13" s="328"/>
      <c r="IDJ13" s="328"/>
      <c r="IDL13" s="328"/>
      <c r="IDN13" s="328"/>
      <c r="IDP13" s="328"/>
      <c r="IDR13" s="328"/>
      <c r="IDT13" s="328"/>
      <c r="IDV13" s="328"/>
      <c r="IDX13" s="328"/>
      <c r="IDZ13" s="328"/>
      <c r="IEB13" s="328"/>
      <c r="IED13" s="328"/>
      <c r="IEF13" s="328"/>
      <c r="IEH13" s="328"/>
      <c r="IEJ13" s="328"/>
      <c r="IEL13" s="328"/>
      <c r="IEN13" s="328"/>
      <c r="IEP13" s="328"/>
      <c r="IER13" s="328"/>
      <c r="IET13" s="328"/>
      <c r="IEV13" s="328"/>
      <c r="IEX13" s="328"/>
      <c r="IEZ13" s="328"/>
      <c r="IFB13" s="328"/>
      <c r="IFD13" s="328"/>
      <c r="IFF13" s="328"/>
      <c r="IFH13" s="328"/>
      <c r="IFJ13" s="328"/>
      <c r="IFL13" s="328"/>
      <c r="IFN13" s="328"/>
      <c r="IFP13" s="328"/>
      <c r="IFR13" s="328"/>
      <c r="IFT13" s="328"/>
      <c r="IFV13" s="328"/>
      <c r="IFX13" s="328"/>
      <c r="IFZ13" s="328"/>
      <c r="IGB13" s="328"/>
      <c r="IGD13" s="328"/>
      <c r="IGF13" s="328"/>
      <c r="IGH13" s="328"/>
      <c r="IGJ13" s="328"/>
      <c r="IGL13" s="328"/>
      <c r="IGN13" s="328"/>
      <c r="IGP13" s="328"/>
      <c r="IGR13" s="328"/>
      <c r="IGT13" s="328"/>
      <c r="IGV13" s="328"/>
      <c r="IGX13" s="328"/>
      <c r="IGZ13" s="328"/>
      <c r="IHB13" s="328"/>
      <c r="IHD13" s="328"/>
      <c r="IHF13" s="328"/>
      <c r="IHH13" s="328"/>
      <c r="IHJ13" s="328"/>
      <c r="IHL13" s="328"/>
      <c r="IHN13" s="328"/>
      <c r="IHP13" s="328"/>
      <c r="IHR13" s="328"/>
      <c r="IHT13" s="328"/>
      <c r="IHV13" s="328"/>
      <c r="IHX13" s="328"/>
      <c r="IHZ13" s="328"/>
      <c r="IIB13" s="328"/>
      <c r="IID13" s="328"/>
      <c r="IIF13" s="328"/>
      <c r="IIH13" s="328"/>
      <c r="IIJ13" s="328"/>
      <c r="IIL13" s="328"/>
      <c r="IIN13" s="328"/>
      <c r="IIP13" s="328"/>
      <c r="IIR13" s="328"/>
      <c r="IIT13" s="328"/>
      <c r="IIV13" s="328"/>
      <c r="IIX13" s="328"/>
      <c r="IIZ13" s="328"/>
      <c r="IJB13" s="328"/>
      <c r="IJD13" s="328"/>
      <c r="IJF13" s="328"/>
      <c r="IJH13" s="328"/>
      <c r="IJJ13" s="328"/>
      <c r="IJL13" s="328"/>
      <c r="IJN13" s="328"/>
      <c r="IJP13" s="328"/>
      <c r="IJR13" s="328"/>
      <c r="IJT13" s="328"/>
      <c r="IJV13" s="328"/>
      <c r="IJX13" s="328"/>
      <c r="IJZ13" s="328"/>
      <c r="IKB13" s="328"/>
      <c r="IKD13" s="328"/>
      <c r="IKF13" s="328"/>
      <c r="IKH13" s="328"/>
      <c r="IKJ13" s="328"/>
      <c r="IKL13" s="328"/>
      <c r="IKN13" s="328"/>
      <c r="IKP13" s="328"/>
      <c r="IKR13" s="328"/>
      <c r="IKT13" s="328"/>
      <c r="IKV13" s="328"/>
      <c r="IKX13" s="328"/>
      <c r="IKZ13" s="328"/>
      <c r="ILB13" s="328"/>
      <c r="ILD13" s="328"/>
      <c r="ILF13" s="328"/>
      <c r="ILH13" s="328"/>
      <c r="ILJ13" s="328"/>
      <c r="ILL13" s="328"/>
      <c r="ILN13" s="328"/>
      <c r="ILP13" s="328"/>
      <c r="ILR13" s="328"/>
      <c r="ILT13" s="328"/>
      <c r="ILV13" s="328"/>
      <c r="ILX13" s="328"/>
      <c r="ILZ13" s="328"/>
      <c r="IMB13" s="328"/>
      <c r="IMD13" s="328"/>
      <c r="IMF13" s="328"/>
      <c r="IMH13" s="328"/>
      <c r="IMJ13" s="328"/>
      <c r="IML13" s="328"/>
      <c r="IMN13" s="328"/>
      <c r="IMP13" s="328"/>
      <c r="IMR13" s="328"/>
      <c r="IMT13" s="328"/>
      <c r="IMV13" s="328"/>
      <c r="IMX13" s="328"/>
      <c r="IMZ13" s="328"/>
      <c r="INB13" s="328"/>
      <c r="IND13" s="328"/>
      <c r="INF13" s="328"/>
      <c r="INH13" s="328"/>
      <c r="INJ13" s="328"/>
      <c r="INL13" s="328"/>
      <c r="INN13" s="328"/>
      <c r="INP13" s="328"/>
      <c r="INR13" s="328"/>
      <c r="INT13" s="328"/>
      <c r="INV13" s="328"/>
      <c r="INX13" s="328"/>
      <c r="INZ13" s="328"/>
      <c r="IOB13" s="328"/>
      <c r="IOD13" s="328"/>
      <c r="IOF13" s="328"/>
      <c r="IOH13" s="328"/>
      <c r="IOJ13" s="328"/>
      <c r="IOL13" s="328"/>
      <c r="ION13" s="328"/>
      <c r="IOP13" s="328"/>
      <c r="IOR13" s="328"/>
      <c r="IOT13" s="328"/>
      <c r="IOV13" s="328"/>
      <c r="IOX13" s="328"/>
      <c r="IOZ13" s="328"/>
      <c r="IPB13" s="328"/>
      <c r="IPD13" s="328"/>
      <c r="IPF13" s="328"/>
      <c r="IPH13" s="328"/>
      <c r="IPJ13" s="328"/>
      <c r="IPL13" s="328"/>
      <c r="IPN13" s="328"/>
      <c r="IPP13" s="328"/>
      <c r="IPR13" s="328"/>
      <c r="IPT13" s="328"/>
      <c r="IPV13" s="328"/>
      <c r="IPX13" s="328"/>
      <c r="IPZ13" s="328"/>
      <c r="IQB13" s="328"/>
      <c r="IQD13" s="328"/>
      <c r="IQF13" s="328"/>
      <c r="IQH13" s="328"/>
      <c r="IQJ13" s="328"/>
      <c r="IQL13" s="328"/>
      <c r="IQN13" s="328"/>
      <c r="IQP13" s="328"/>
      <c r="IQR13" s="328"/>
      <c r="IQT13" s="328"/>
      <c r="IQV13" s="328"/>
      <c r="IQX13" s="328"/>
      <c r="IQZ13" s="328"/>
      <c r="IRB13" s="328"/>
      <c r="IRD13" s="328"/>
      <c r="IRF13" s="328"/>
      <c r="IRH13" s="328"/>
      <c r="IRJ13" s="328"/>
      <c r="IRL13" s="328"/>
      <c r="IRN13" s="328"/>
      <c r="IRP13" s="328"/>
      <c r="IRR13" s="328"/>
      <c r="IRT13" s="328"/>
      <c r="IRV13" s="328"/>
      <c r="IRX13" s="328"/>
      <c r="IRZ13" s="328"/>
      <c r="ISB13" s="328"/>
      <c r="ISD13" s="328"/>
      <c r="ISF13" s="328"/>
      <c r="ISH13" s="328"/>
      <c r="ISJ13" s="328"/>
      <c r="ISL13" s="328"/>
      <c r="ISN13" s="328"/>
      <c r="ISP13" s="328"/>
      <c r="ISR13" s="328"/>
      <c r="IST13" s="328"/>
      <c r="ISV13" s="328"/>
      <c r="ISX13" s="328"/>
      <c r="ISZ13" s="328"/>
      <c r="ITB13" s="328"/>
      <c r="ITD13" s="328"/>
      <c r="ITF13" s="328"/>
      <c r="ITH13" s="328"/>
      <c r="ITJ13" s="328"/>
      <c r="ITL13" s="328"/>
      <c r="ITN13" s="328"/>
      <c r="ITP13" s="328"/>
      <c r="ITR13" s="328"/>
      <c r="ITT13" s="328"/>
      <c r="ITV13" s="328"/>
      <c r="ITX13" s="328"/>
      <c r="ITZ13" s="328"/>
      <c r="IUB13" s="328"/>
      <c r="IUD13" s="328"/>
      <c r="IUF13" s="328"/>
      <c r="IUH13" s="328"/>
      <c r="IUJ13" s="328"/>
      <c r="IUL13" s="328"/>
      <c r="IUN13" s="328"/>
      <c r="IUP13" s="328"/>
      <c r="IUR13" s="328"/>
      <c r="IUT13" s="328"/>
      <c r="IUV13" s="328"/>
      <c r="IUX13" s="328"/>
      <c r="IUZ13" s="328"/>
      <c r="IVB13" s="328"/>
      <c r="IVD13" s="328"/>
      <c r="IVF13" s="328"/>
      <c r="IVH13" s="328"/>
      <c r="IVJ13" s="328"/>
      <c r="IVL13" s="328"/>
      <c r="IVN13" s="328"/>
      <c r="IVP13" s="328"/>
      <c r="IVR13" s="328"/>
      <c r="IVT13" s="328"/>
      <c r="IVV13" s="328"/>
      <c r="IVX13" s="328"/>
      <c r="IVZ13" s="328"/>
      <c r="IWB13" s="328"/>
      <c r="IWD13" s="328"/>
      <c r="IWF13" s="328"/>
      <c r="IWH13" s="328"/>
      <c r="IWJ13" s="328"/>
      <c r="IWL13" s="328"/>
      <c r="IWN13" s="328"/>
      <c r="IWP13" s="328"/>
      <c r="IWR13" s="328"/>
      <c r="IWT13" s="328"/>
      <c r="IWV13" s="328"/>
      <c r="IWX13" s="328"/>
      <c r="IWZ13" s="328"/>
      <c r="IXB13" s="328"/>
      <c r="IXD13" s="328"/>
      <c r="IXF13" s="328"/>
      <c r="IXH13" s="328"/>
      <c r="IXJ13" s="328"/>
      <c r="IXL13" s="328"/>
      <c r="IXN13" s="328"/>
      <c r="IXP13" s="328"/>
      <c r="IXR13" s="328"/>
      <c r="IXT13" s="328"/>
      <c r="IXV13" s="328"/>
      <c r="IXX13" s="328"/>
      <c r="IXZ13" s="328"/>
      <c r="IYB13" s="328"/>
      <c r="IYD13" s="328"/>
      <c r="IYF13" s="328"/>
      <c r="IYH13" s="328"/>
      <c r="IYJ13" s="328"/>
      <c r="IYL13" s="328"/>
      <c r="IYN13" s="328"/>
      <c r="IYP13" s="328"/>
      <c r="IYR13" s="328"/>
      <c r="IYT13" s="328"/>
      <c r="IYV13" s="328"/>
      <c r="IYX13" s="328"/>
      <c r="IYZ13" s="328"/>
      <c r="IZB13" s="328"/>
      <c r="IZD13" s="328"/>
      <c r="IZF13" s="328"/>
      <c r="IZH13" s="328"/>
      <c r="IZJ13" s="328"/>
      <c r="IZL13" s="328"/>
      <c r="IZN13" s="328"/>
      <c r="IZP13" s="328"/>
      <c r="IZR13" s="328"/>
      <c r="IZT13" s="328"/>
      <c r="IZV13" s="328"/>
      <c r="IZX13" s="328"/>
      <c r="IZZ13" s="328"/>
      <c r="JAB13" s="328"/>
      <c r="JAD13" s="328"/>
      <c r="JAF13" s="328"/>
      <c r="JAH13" s="328"/>
      <c r="JAJ13" s="328"/>
      <c r="JAL13" s="328"/>
      <c r="JAN13" s="328"/>
      <c r="JAP13" s="328"/>
      <c r="JAR13" s="328"/>
      <c r="JAT13" s="328"/>
      <c r="JAV13" s="328"/>
      <c r="JAX13" s="328"/>
      <c r="JAZ13" s="328"/>
      <c r="JBB13" s="328"/>
      <c r="JBD13" s="328"/>
      <c r="JBF13" s="328"/>
      <c r="JBH13" s="328"/>
      <c r="JBJ13" s="328"/>
      <c r="JBL13" s="328"/>
      <c r="JBN13" s="328"/>
      <c r="JBP13" s="328"/>
      <c r="JBR13" s="328"/>
      <c r="JBT13" s="328"/>
      <c r="JBV13" s="328"/>
      <c r="JBX13" s="328"/>
      <c r="JBZ13" s="328"/>
      <c r="JCB13" s="328"/>
      <c r="JCD13" s="328"/>
      <c r="JCF13" s="328"/>
      <c r="JCH13" s="328"/>
      <c r="JCJ13" s="328"/>
      <c r="JCL13" s="328"/>
      <c r="JCN13" s="328"/>
      <c r="JCP13" s="328"/>
      <c r="JCR13" s="328"/>
      <c r="JCT13" s="328"/>
      <c r="JCV13" s="328"/>
      <c r="JCX13" s="328"/>
      <c r="JCZ13" s="328"/>
      <c r="JDB13" s="328"/>
      <c r="JDD13" s="328"/>
      <c r="JDF13" s="328"/>
      <c r="JDH13" s="328"/>
      <c r="JDJ13" s="328"/>
      <c r="JDL13" s="328"/>
      <c r="JDN13" s="328"/>
      <c r="JDP13" s="328"/>
      <c r="JDR13" s="328"/>
      <c r="JDT13" s="328"/>
      <c r="JDV13" s="328"/>
      <c r="JDX13" s="328"/>
      <c r="JDZ13" s="328"/>
      <c r="JEB13" s="328"/>
      <c r="JED13" s="328"/>
      <c r="JEF13" s="328"/>
      <c r="JEH13" s="328"/>
      <c r="JEJ13" s="328"/>
      <c r="JEL13" s="328"/>
      <c r="JEN13" s="328"/>
      <c r="JEP13" s="328"/>
      <c r="JER13" s="328"/>
      <c r="JET13" s="328"/>
      <c r="JEV13" s="328"/>
      <c r="JEX13" s="328"/>
      <c r="JEZ13" s="328"/>
      <c r="JFB13" s="328"/>
      <c r="JFD13" s="328"/>
      <c r="JFF13" s="328"/>
      <c r="JFH13" s="328"/>
      <c r="JFJ13" s="328"/>
      <c r="JFL13" s="328"/>
      <c r="JFN13" s="328"/>
      <c r="JFP13" s="328"/>
      <c r="JFR13" s="328"/>
      <c r="JFT13" s="328"/>
      <c r="JFV13" s="328"/>
      <c r="JFX13" s="328"/>
      <c r="JFZ13" s="328"/>
      <c r="JGB13" s="328"/>
      <c r="JGD13" s="328"/>
      <c r="JGF13" s="328"/>
      <c r="JGH13" s="328"/>
      <c r="JGJ13" s="328"/>
      <c r="JGL13" s="328"/>
      <c r="JGN13" s="328"/>
      <c r="JGP13" s="328"/>
      <c r="JGR13" s="328"/>
      <c r="JGT13" s="328"/>
      <c r="JGV13" s="328"/>
      <c r="JGX13" s="328"/>
      <c r="JGZ13" s="328"/>
      <c r="JHB13" s="328"/>
      <c r="JHD13" s="328"/>
      <c r="JHF13" s="328"/>
      <c r="JHH13" s="328"/>
      <c r="JHJ13" s="328"/>
      <c r="JHL13" s="328"/>
      <c r="JHN13" s="328"/>
      <c r="JHP13" s="328"/>
      <c r="JHR13" s="328"/>
      <c r="JHT13" s="328"/>
      <c r="JHV13" s="328"/>
      <c r="JHX13" s="328"/>
      <c r="JHZ13" s="328"/>
      <c r="JIB13" s="328"/>
      <c r="JID13" s="328"/>
      <c r="JIF13" s="328"/>
      <c r="JIH13" s="328"/>
      <c r="JIJ13" s="328"/>
      <c r="JIL13" s="328"/>
      <c r="JIN13" s="328"/>
      <c r="JIP13" s="328"/>
      <c r="JIR13" s="328"/>
      <c r="JIT13" s="328"/>
      <c r="JIV13" s="328"/>
      <c r="JIX13" s="328"/>
      <c r="JIZ13" s="328"/>
      <c r="JJB13" s="328"/>
      <c r="JJD13" s="328"/>
      <c r="JJF13" s="328"/>
      <c r="JJH13" s="328"/>
      <c r="JJJ13" s="328"/>
      <c r="JJL13" s="328"/>
      <c r="JJN13" s="328"/>
      <c r="JJP13" s="328"/>
      <c r="JJR13" s="328"/>
      <c r="JJT13" s="328"/>
      <c r="JJV13" s="328"/>
      <c r="JJX13" s="328"/>
      <c r="JJZ13" s="328"/>
      <c r="JKB13" s="328"/>
      <c r="JKD13" s="328"/>
      <c r="JKF13" s="328"/>
      <c r="JKH13" s="328"/>
      <c r="JKJ13" s="328"/>
      <c r="JKL13" s="328"/>
      <c r="JKN13" s="328"/>
      <c r="JKP13" s="328"/>
      <c r="JKR13" s="328"/>
      <c r="JKT13" s="328"/>
      <c r="JKV13" s="328"/>
      <c r="JKX13" s="328"/>
      <c r="JKZ13" s="328"/>
      <c r="JLB13" s="328"/>
      <c r="JLD13" s="328"/>
      <c r="JLF13" s="328"/>
      <c r="JLH13" s="328"/>
      <c r="JLJ13" s="328"/>
      <c r="JLL13" s="328"/>
      <c r="JLN13" s="328"/>
      <c r="JLP13" s="328"/>
      <c r="JLR13" s="328"/>
      <c r="JLT13" s="328"/>
      <c r="JLV13" s="328"/>
      <c r="JLX13" s="328"/>
      <c r="JLZ13" s="328"/>
      <c r="JMB13" s="328"/>
      <c r="JMD13" s="328"/>
      <c r="JMF13" s="328"/>
      <c r="JMH13" s="328"/>
      <c r="JMJ13" s="328"/>
      <c r="JML13" s="328"/>
      <c r="JMN13" s="328"/>
      <c r="JMP13" s="328"/>
      <c r="JMR13" s="328"/>
      <c r="JMT13" s="328"/>
      <c r="JMV13" s="328"/>
      <c r="JMX13" s="328"/>
      <c r="JMZ13" s="328"/>
      <c r="JNB13" s="328"/>
      <c r="JND13" s="328"/>
      <c r="JNF13" s="328"/>
      <c r="JNH13" s="328"/>
      <c r="JNJ13" s="328"/>
      <c r="JNL13" s="328"/>
      <c r="JNN13" s="328"/>
      <c r="JNP13" s="328"/>
      <c r="JNR13" s="328"/>
      <c r="JNT13" s="328"/>
      <c r="JNV13" s="328"/>
      <c r="JNX13" s="328"/>
      <c r="JNZ13" s="328"/>
      <c r="JOB13" s="328"/>
      <c r="JOD13" s="328"/>
      <c r="JOF13" s="328"/>
      <c r="JOH13" s="328"/>
      <c r="JOJ13" s="328"/>
      <c r="JOL13" s="328"/>
      <c r="JON13" s="328"/>
      <c r="JOP13" s="328"/>
      <c r="JOR13" s="328"/>
      <c r="JOT13" s="328"/>
      <c r="JOV13" s="328"/>
      <c r="JOX13" s="328"/>
      <c r="JOZ13" s="328"/>
      <c r="JPB13" s="328"/>
      <c r="JPD13" s="328"/>
      <c r="JPF13" s="328"/>
      <c r="JPH13" s="328"/>
      <c r="JPJ13" s="328"/>
      <c r="JPL13" s="328"/>
      <c r="JPN13" s="328"/>
      <c r="JPP13" s="328"/>
      <c r="JPR13" s="328"/>
      <c r="JPT13" s="328"/>
      <c r="JPV13" s="328"/>
      <c r="JPX13" s="328"/>
      <c r="JPZ13" s="328"/>
      <c r="JQB13" s="328"/>
      <c r="JQD13" s="328"/>
      <c r="JQF13" s="328"/>
      <c r="JQH13" s="328"/>
      <c r="JQJ13" s="328"/>
      <c r="JQL13" s="328"/>
      <c r="JQN13" s="328"/>
      <c r="JQP13" s="328"/>
      <c r="JQR13" s="328"/>
      <c r="JQT13" s="328"/>
      <c r="JQV13" s="328"/>
      <c r="JQX13" s="328"/>
      <c r="JQZ13" s="328"/>
      <c r="JRB13" s="328"/>
      <c r="JRD13" s="328"/>
      <c r="JRF13" s="328"/>
      <c r="JRH13" s="328"/>
      <c r="JRJ13" s="328"/>
      <c r="JRL13" s="328"/>
      <c r="JRN13" s="328"/>
      <c r="JRP13" s="328"/>
      <c r="JRR13" s="328"/>
      <c r="JRT13" s="328"/>
      <c r="JRV13" s="328"/>
      <c r="JRX13" s="328"/>
      <c r="JRZ13" s="328"/>
      <c r="JSB13" s="328"/>
      <c r="JSD13" s="328"/>
      <c r="JSF13" s="328"/>
      <c r="JSH13" s="328"/>
      <c r="JSJ13" s="328"/>
      <c r="JSL13" s="328"/>
      <c r="JSN13" s="328"/>
      <c r="JSP13" s="328"/>
      <c r="JSR13" s="328"/>
      <c r="JST13" s="328"/>
      <c r="JSV13" s="328"/>
      <c r="JSX13" s="328"/>
      <c r="JSZ13" s="328"/>
      <c r="JTB13" s="328"/>
      <c r="JTD13" s="328"/>
      <c r="JTF13" s="328"/>
      <c r="JTH13" s="328"/>
      <c r="JTJ13" s="328"/>
      <c r="JTL13" s="328"/>
      <c r="JTN13" s="328"/>
      <c r="JTP13" s="328"/>
      <c r="JTR13" s="328"/>
      <c r="JTT13" s="328"/>
      <c r="JTV13" s="328"/>
      <c r="JTX13" s="328"/>
      <c r="JTZ13" s="328"/>
      <c r="JUB13" s="328"/>
      <c r="JUD13" s="328"/>
      <c r="JUF13" s="328"/>
      <c r="JUH13" s="328"/>
      <c r="JUJ13" s="328"/>
      <c r="JUL13" s="328"/>
      <c r="JUN13" s="328"/>
      <c r="JUP13" s="328"/>
      <c r="JUR13" s="328"/>
      <c r="JUT13" s="328"/>
      <c r="JUV13" s="328"/>
      <c r="JUX13" s="328"/>
      <c r="JUZ13" s="328"/>
      <c r="JVB13" s="328"/>
      <c r="JVD13" s="328"/>
      <c r="JVF13" s="328"/>
      <c r="JVH13" s="328"/>
      <c r="JVJ13" s="328"/>
      <c r="JVL13" s="328"/>
      <c r="JVN13" s="328"/>
      <c r="JVP13" s="328"/>
      <c r="JVR13" s="328"/>
      <c r="JVT13" s="328"/>
      <c r="JVV13" s="328"/>
      <c r="JVX13" s="328"/>
      <c r="JVZ13" s="328"/>
      <c r="JWB13" s="328"/>
      <c r="JWD13" s="328"/>
      <c r="JWF13" s="328"/>
      <c r="JWH13" s="328"/>
      <c r="JWJ13" s="328"/>
      <c r="JWL13" s="328"/>
      <c r="JWN13" s="328"/>
      <c r="JWP13" s="328"/>
      <c r="JWR13" s="328"/>
      <c r="JWT13" s="328"/>
      <c r="JWV13" s="328"/>
      <c r="JWX13" s="328"/>
      <c r="JWZ13" s="328"/>
      <c r="JXB13" s="328"/>
      <c r="JXD13" s="328"/>
      <c r="JXF13" s="328"/>
      <c r="JXH13" s="328"/>
      <c r="JXJ13" s="328"/>
      <c r="JXL13" s="328"/>
      <c r="JXN13" s="328"/>
      <c r="JXP13" s="328"/>
      <c r="JXR13" s="328"/>
      <c r="JXT13" s="328"/>
      <c r="JXV13" s="328"/>
      <c r="JXX13" s="328"/>
      <c r="JXZ13" s="328"/>
      <c r="JYB13" s="328"/>
      <c r="JYD13" s="328"/>
      <c r="JYF13" s="328"/>
      <c r="JYH13" s="328"/>
      <c r="JYJ13" s="328"/>
      <c r="JYL13" s="328"/>
      <c r="JYN13" s="328"/>
      <c r="JYP13" s="328"/>
      <c r="JYR13" s="328"/>
      <c r="JYT13" s="328"/>
      <c r="JYV13" s="328"/>
      <c r="JYX13" s="328"/>
      <c r="JYZ13" s="328"/>
      <c r="JZB13" s="328"/>
      <c r="JZD13" s="328"/>
      <c r="JZF13" s="328"/>
      <c r="JZH13" s="328"/>
      <c r="JZJ13" s="328"/>
      <c r="JZL13" s="328"/>
      <c r="JZN13" s="328"/>
      <c r="JZP13" s="328"/>
      <c r="JZR13" s="328"/>
      <c r="JZT13" s="328"/>
      <c r="JZV13" s="328"/>
      <c r="JZX13" s="328"/>
      <c r="JZZ13" s="328"/>
      <c r="KAB13" s="328"/>
      <c r="KAD13" s="328"/>
      <c r="KAF13" s="328"/>
      <c r="KAH13" s="328"/>
      <c r="KAJ13" s="328"/>
      <c r="KAL13" s="328"/>
      <c r="KAN13" s="328"/>
      <c r="KAP13" s="328"/>
      <c r="KAR13" s="328"/>
      <c r="KAT13" s="328"/>
      <c r="KAV13" s="328"/>
      <c r="KAX13" s="328"/>
      <c r="KAZ13" s="328"/>
      <c r="KBB13" s="328"/>
      <c r="KBD13" s="328"/>
      <c r="KBF13" s="328"/>
      <c r="KBH13" s="328"/>
      <c r="KBJ13" s="328"/>
      <c r="KBL13" s="328"/>
      <c r="KBN13" s="328"/>
      <c r="KBP13" s="328"/>
      <c r="KBR13" s="328"/>
      <c r="KBT13" s="328"/>
      <c r="KBV13" s="328"/>
      <c r="KBX13" s="328"/>
      <c r="KBZ13" s="328"/>
      <c r="KCB13" s="328"/>
      <c r="KCD13" s="328"/>
      <c r="KCF13" s="328"/>
      <c r="KCH13" s="328"/>
      <c r="KCJ13" s="328"/>
      <c r="KCL13" s="328"/>
      <c r="KCN13" s="328"/>
      <c r="KCP13" s="328"/>
      <c r="KCR13" s="328"/>
      <c r="KCT13" s="328"/>
      <c r="KCV13" s="328"/>
      <c r="KCX13" s="328"/>
      <c r="KCZ13" s="328"/>
      <c r="KDB13" s="328"/>
      <c r="KDD13" s="328"/>
      <c r="KDF13" s="328"/>
      <c r="KDH13" s="328"/>
      <c r="KDJ13" s="328"/>
      <c r="KDL13" s="328"/>
      <c r="KDN13" s="328"/>
      <c r="KDP13" s="328"/>
      <c r="KDR13" s="328"/>
      <c r="KDT13" s="328"/>
      <c r="KDV13" s="328"/>
      <c r="KDX13" s="328"/>
      <c r="KDZ13" s="328"/>
      <c r="KEB13" s="328"/>
      <c r="KED13" s="328"/>
      <c r="KEF13" s="328"/>
      <c r="KEH13" s="328"/>
      <c r="KEJ13" s="328"/>
      <c r="KEL13" s="328"/>
      <c r="KEN13" s="328"/>
      <c r="KEP13" s="328"/>
      <c r="KER13" s="328"/>
      <c r="KET13" s="328"/>
      <c r="KEV13" s="328"/>
      <c r="KEX13" s="328"/>
      <c r="KEZ13" s="328"/>
      <c r="KFB13" s="328"/>
      <c r="KFD13" s="328"/>
      <c r="KFF13" s="328"/>
      <c r="KFH13" s="328"/>
      <c r="KFJ13" s="328"/>
      <c r="KFL13" s="328"/>
      <c r="KFN13" s="328"/>
      <c r="KFP13" s="328"/>
      <c r="KFR13" s="328"/>
      <c r="KFT13" s="328"/>
      <c r="KFV13" s="328"/>
      <c r="KFX13" s="328"/>
      <c r="KFZ13" s="328"/>
      <c r="KGB13" s="328"/>
      <c r="KGD13" s="328"/>
      <c r="KGF13" s="328"/>
      <c r="KGH13" s="328"/>
      <c r="KGJ13" s="328"/>
      <c r="KGL13" s="328"/>
      <c r="KGN13" s="328"/>
      <c r="KGP13" s="328"/>
      <c r="KGR13" s="328"/>
      <c r="KGT13" s="328"/>
      <c r="KGV13" s="328"/>
      <c r="KGX13" s="328"/>
      <c r="KGZ13" s="328"/>
      <c r="KHB13" s="328"/>
      <c r="KHD13" s="328"/>
      <c r="KHF13" s="328"/>
      <c r="KHH13" s="328"/>
      <c r="KHJ13" s="328"/>
      <c r="KHL13" s="328"/>
      <c r="KHN13" s="328"/>
      <c r="KHP13" s="328"/>
      <c r="KHR13" s="328"/>
      <c r="KHT13" s="328"/>
      <c r="KHV13" s="328"/>
      <c r="KHX13" s="328"/>
      <c r="KHZ13" s="328"/>
      <c r="KIB13" s="328"/>
      <c r="KID13" s="328"/>
      <c r="KIF13" s="328"/>
      <c r="KIH13" s="328"/>
      <c r="KIJ13" s="328"/>
      <c r="KIL13" s="328"/>
      <c r="KIN13" s="328"/>
      <c r="KIP13" s="328"/>
      <c r="KIR13" s="328"/>
      <c r="KIT13" s="328"/>
      <c r="KIV13" s="328"/>
      <c r="KIX13" s="328"/>
      <c r="KIZ13" s="328"/>
      <c r="KJB13" s="328"/>
      <c r="KJD13" s="328"/>
      <c r="KJF13" s="328"/>
      <c r="KJH13" s="328"/>
      <c r="KJJ13" s="328"/>
      <c r="KJL13" s="328"/>
      <c r="KJN13" s="328"/>
      <c r="KJP13" s="328"/>
      <c r="KJR13" s="328"/>
      <c r="KJT13" s="328"/>
      <c r="KJV13" s="328"/>
      <c r="KJX13" s="328"/>
      <c r="KJZ13" s="328"/>
      <c r="KKB13" s="328"/>
      <c r="KKD13" s="328"/>
      <c r="KKF13" s="328"/>
      <c r="KKH13" s="328"/>
      <c r="KKJ13" s="328"/>
      <c r="KKL13" s="328"/>
      <c r="KKN13" s="328"/>
      <c r="KKP13" s="328"/>
      <c r="KKR13" s="328"/>
      <c r="KKT13" s="328"/>
      <c r="KKV13" s="328"/>
      <c r="KKX13" s="328"/>
      <c r="KKZ13" s="328"/>
      <c r="KLB13" s="328"/>
      <c r="KLD13" s="328"/>
      <c r="KLF13" s="328"/>
      <c r="KLH13" s="328"/>
      <c r="KLJ13" s="328"/>
      <c r="KLL13" s="328"/>
      <c r="KLN13" s="328"/>
      <c r="KLP13" s="328"/>
      <c r="KLR13" s="328"/>
      <c r="KLT13" s="328"/>
      <c r="KLV13" s="328"/>
      <c r="KLX13" s="328"/>
      <c r="KLZ13" s="328"/>
      <c r="KMB13" s="328"/>
      <c r="KMD13" s="328"/>
      <c r="KMF13" s="328"/>
      <c r="KMH13" s="328"/>
      <c r="KMJ13" s="328"/>
      <c r="KML13" s="328"/>
      <c r="KMN13" s="328"/>
      <c r="KMP13" s="328"/>
      <c r="KMR13" s="328"/>
      <c r="KMT13" s="328"/>
      <c r="KMV13" s="328"/>
      <c r="KMX13" s="328"/>
      <c r="KMZ13" s="328"/>
      <c r="KNB13" s="328"/>
      <c r="KND13" s="328"/>
      <c r="KNF13" s="328"/>
      <c r="KNH13" s="328"/>
      <c r="KNJ13" s="328"/>
      <c r="KNL13" s="328"/>
      <c r="KNN13" s="328"/>
      <c r="KNP13" s="328"/>
      <c r="KNR13" s="328"/>
      <c r="KNT13" s="328"/>
      <c r="KNV13" s="328"/>
      <c r="KNX13" s="328"/>
      <c r="KNZ13" s="328"/>
      <c r="KOB13" s="328"/>
      <c r="KOD13" s="328"/>
      <c r="KOF13" s="328"/>
      <c r="KOH13" s="328"/>
      <c r="KOJ13" s="328"/>
      <c r="KOL13" s="328"/>
      <c r="KON13" s="328"/>
      <c r="KOP13" s="328"/>
      <c r="KOR13" s="328"/>
      <c r="KOT13" s="328"/>
      <c r="KOV13" s="328"/>
      <c r="KOX13" s="328"/>
      <c r="KOZ13" s="328"/>
      <c r="KPB13" s="328"/>
      <c r="KPD13" s="328"/>
      <c r="KPF13" s="328"/>
      <c r="KPH13" s="328"/>
      <c r="KPJ13" s="328"/>
      <c r="KPL13" s="328"/>
      <c r="KPN13" s="328"/>
      <c r="KPP13" s="328"/>
      <c r="KPR13" s="328"/>
      <c r="KPT13" s="328"/>
      <c r="KPV13" s="328"/>
      <c r="KPX13" s="328"/>
      <c r="KPZ13" s="328"/>
      <c r="KQB13" s="328"/>
      <c r="KQD13" s="328"/>
      <c r="KQF13" s="328"/>
      <c r="KQH13" s="328"/>
      <c r="KQJ13" s="328"/>
      <c r="KQL13" s="328"/>
      <c r="KQN13" s="328"/>
      <c r="KQP13" s="328"/>
      <c r="KQR13" s="328"/>
      <c r="KQT13" s="328"/>
      <c r="KQV13" s="328"/>
      <c r="KQX13" s="328"/>
      <c r="KQZ13" s="328"/>
      <c r="KRB13" s="328"/>
      <c r="KRD13" s="328"/>
      <c r="KRF13" s="328"/>
      <c r="KRH13" s="328"/>
      <c r="KRJ13" s="328"/>
      <c r="KRL13" s="328"/>
      <c r="KRN13" s="328"/>
      <c r="KRP13" s="328"/>
      <c r="KRR13" s="328"/>
      <c r="KRT13" s="328"/>
      <c r="KRV13" s="328"/>
      <c r="KRX13" s="328"/>
      <c r="KRZ13" s="328"/>
      <c r="KSB13" s="328"/>
      <c r="KSD13" s="328"/>
      <c r="KSF13" s="328"/>
      <c r="KSH13" s="328"/>
      <c r="KSJ13" s="328"/>
      <c r="KSL13" s="328"/>
      <c r="KSN13" s="328"/>
      <c r="KSP13" s="328"/>
      <c r="KSR13" s="328"/>
      <c r="KST13" s="328"/>
      <c r="KSV13" s="328"/>
      <c r="KSX13" s="328"/>
      <c r="KSZ13" s="328"/>
      <c r="KTB13" s="328"/>
      <c r="KTD13" s="328"/>
      <c r="KTF13" s="328"/>
      <c r="KTH13" s="328"/>
      <c r="KTJ13" s="328"/>
      <c r="KTL13" s="328"/>
      <c r="KTN13" s="328"/>
      <c r="KTP13" s="328"/>
      <c r="KTR13" s="328"/>
      <c r="KTT13" s="328"/>
      <c r="KTV13" s="328"/>
      <c r="KTX13" s="328"/>
      <c r="KTZ13" s="328"/>
      <c r="KUB13" s="328"/>
      <c r="KUD13" s="328"/>
      <c r="KUF13" s="328"/>
      <c r="KUH13" s="328"/>
      <c r="KUJ13" s="328"/>
      <c r="KUL13" s="328"/>
      <c r="KUN13" s="328"/>
      <c r="KUP13" s="328"/>
      <c r="KUR13" s="328"/>
      <c r="KUT13" s="328"/>
      <c r="KUV13" s="328"/>
      <c r="KUX13" s="328"/>
      <c r="KUZ13" s="328"/>
      <c r="KVB13" s="328"/>
      <c r="KVD13" s="328"/>
      <c r="KVF13" s="328"/>
      <c r="KVH13" s="328"/>
      <c r="KVJ13" s="328"/>
      <c r="KVL13" s="328"/>
      <c r="KVN13" s="328"/>
      <c r="KVP13" s="328"/>
      <c r="KVR13" s="328"/>
      <c r="KVT13" s="328"/>
      <c r="KVV13" s="328"/>
      <c r="KVX13" s="328"/>
      <c r="KVZ13" s="328"/>
      <c r="KWB13" s="328"/>
      <c r="KWD13" s="328"/>
      <c r="KWF13" s="328"/>
      <c r="KWH13" s="328"/>
      <c r="KWJ13" s="328"/>
      <c r="KWL13" s="328"/>
      <c r="KWN13" s="328"/>
      <c r="KWP13" s="328"/>
      <c r="KWR13" s="328"/>
      <c r="KWT13" s="328"/>
      <c r="KWV13" s="328"/>
      <c r="KWX13" s="328"/>
      <c r="KWZ13" s="328"/>
      <c r="KXB13" s="328"/>
      <c r="KXD13" s="328"/>
      <c r="KXF13" s="328"/>
      <c r="KXH13" s="328"/>
      <c r="KXJ13" s="328"/>
      <c r="KXL13" s="328"/>
      <c r="KXN13" s="328"/>
      <c r="KXP13" s="328"/>
      <c r="KXR13" s="328"/>
      <c r="KXT13" s="328"/>
      <c r="KXV13" s="328"/>
      <c r="KXX13" s="328"/>
      <c r="KXZ13" s="328"/>
      <c r="KYB13" s="328"/>
      <c r="KYD13" s="328"/>
      <c r="KYF13" s="328"/>
      <c r="KYH13" s="328"/>
      <c r="KYJ13" s="328"/>
      <c r="KYL13" s="328"/>
      <c r="KYN13" s="328"/>
      <c r="KYP13" s="328"/>
      <c r="KYR13" s="328"/>
      <c r="KYT13" s="328"/>
      <c r="KYV13" s="328"/>
      <c r="KYX13" s="328"/>
      <c r="KYZ13" s="328"/>
      <c r="KZB13" s="328"/>
      <c r="KZD13" s="328"/>
      <c r="KZF13" s="328"/>
      <c r="KZH13" s="328"/>
      <c r="KZJ13" s="328"/>
      <c r="KZL13" s="328"/>
      <c r="KZN13" s="328"/>
      <c r="KZP13" s="328"/>
      <c r="KZR13" s="328"/>
      <c r="KZT13" s="328"/>
      <c r="KZV13" s="328"/>
      <c r="KZX13" s="328"/>
      <c r="KZZ13" s="328"/>
      <c r="LAB13" s="328"/>
      <c r="LAD13" s="328"/>
      <c r="LAF13" s="328"/>
      <c r="LAH13" s="328"/>
      <c r="LAJ13" s="328"/>
      <c r="LAL13" s="328"/>
      <c r="LAN13" s="328"/>
      <c r="LAP13" s="328"/>
      <c r="LAR13" s="328"/>
      <c r="LAT13" s="328"/>
      <c r="LAV13" s="328"/>
      <c r="LAX13" s="328"/>
      <c r="LAZ13" s="328"/>
      <c r="LBB13" s="328"/>
      <c r="LBD13" s="328"/>
      <c r="LBF13" s="328"/>
      <c r="LBH13" s="328"/>
      <c r="LBJ13" s="328"/>
      <c r="LBL13" s="328"/>
      <c r="LBN13" s="328"/>
      <c r="LBP13" s="328"/>
      <c r="LBR13" s="328"/>
      <c r="LBT13" s="328"/>
      <c r="LBV13" s="328"/>
      <c r="LBX13" s="328"/>
      <c r="LBZ13" s="328"/>
      <c r="LCB13" s="328"/>
      <c r="LCD13" s="328"/>
      <c r="LCF13" s="328"/>
      <c r="LCH13" s="328"/>
      <c r="LCJ13" s="328"/>
      <c r="LCL13" s="328"/>
      <c r="LCN13" s="328"/>
      <c r="LCP13" s="328"/>
      <c r="LCR13" s="328"/>
      <c r="LCT13" s="328"/>
      <c r="LCV13" s="328"/>
      <c r="LCX13" s="328"/>
      <c r="LCZ13" s="328"/>
      <c r="LDB13" s="328"/>
      <c r="LDD13" s="328"/>
      <c r="LDF13" s="328"/>
      <c r="LDH13" s="328"/>
      <c r="LDJ13" s="328"/>
      <c r="LDL13" s="328"/>
      <c r="LDN13" s="328"/>
      <c r="LDP13" s="328"/>
      <c r="LDR13" s="328"/>
      <c r="LDT13" s="328"/>
      <c r="LDV13" s="328"/>
      <c r="LDX13" s="328"/>
      <c r="LDZ13" s="328"/>
      <c r="LEB13" s="328"/>
      <c r="LED13" s="328"/>
      <c r="LEF13" s="328"/>
      <c r="LEH13" s="328"/>
      <c r="LEJ13" s="328"/>
      <c r="LEL13" s="328"/>
      <c r="LEN13" s="328"/>
      <c r="LEP13" s="328"/>
      <c r="LER13" s="328"/>
      <c r="LET13" s="328"/>
      <c r="LEV13" s="328"/>
      <c r="LEX13" s="328"/>
      <c r="LEZ13" s="328"/>
      <c r="LFB13" s="328"/>
      <c r="LFD13" s="328"/>
      <c r="LFF13" s="328"/>
      <c r="LFH13" s="328"/>
      <c r="LFJ13" s="328"/>
      <c r="LFL13" s="328"/>
      <c r="LFN13" s="328"/>
      <c r="LFP13" s="328"/>
      <c r="LFR13" s="328"/>
      <c r="LFT13" s="328"/>
      <c r="LFV13" s="328"/>
      <c r="LFX13" s="328"/>
      <c r="LFZ13" s="328"/>
      <c r="LGB13" s="328"/>
      <c r="LGD13" s="328"/>
      <c r="LGF13" s="328"/>
      <c r="LGH13" s="328"/>
      <c r="LGJ13" s="328"/>
      <c r="LGL13" s="328"/>
      <c r="LGN13" s="328"/>
      <c r="LGP13" s="328"/>
      <c r="LGR13" s="328"/>
      <c r="LGT13" s="328"/>
      <c r="LGV13" s="328"/>
      <c r="LGX13" s="328"/>
      <c r="LGZ13" s="328"/>
      <c r="LHB13" s="328"/>
      <c r="LHD13" s="328"/>
      <c r="LHF13" s="328"/>
      <c r="LHH13" s="328"/>
      <c r="LHJ13" s="328"/>
      <c r="LHL13" s="328"/>
      <c r="LHN13" s="328"/>
      <c r="LHP13" s="328"/>
      <c r="LHR13" s="328"/>
      <c r="LHT13" s="328"/>
      <c r="LHV13" s="328"/>
      <c r="LHX13" s="328"/>
      <c r="LHZ13" s="328"/>
      <c r="LIB13" s="328"/>
      <c r="LID13" s="328"/>
      <c r="LIF13" s="328"/>
      <c r="LIH13" s="328"/>
      <c r="LIJ13" s="328"/>
      <c r="LIL13" s="328"/>
      <c r="LIN13" s="328"/>
      <c r="LIP13" s="328"/>
      <c r="LIR13" s="328"/>
      <c r="LIT13" s="328"/>
      <c r="LIV13" s="328"/>
      <c r="LIX13" s="328"/>
      <c r="LIZ13" s="328"/>
      <c r="LJB13" s="328"/>
      <c r="LJD13" s="328"/>
      <c r="LJF13" s="328"/>
      <c r="LJH13" s="328"/>
      <c r="LJJ13" s="328"/>
      <c r="LJL13" s="328"/>
      <c r="LJN13" s="328"/>
      <c r="LJP13" s="328"/>
      <c r="LJR13" s="328"/>
      <c r="LJT13" s="328"/>
      <c r="LJV13" s="328"/>
      <c r="LJX13" s="328"/>
      <c r="LJZ13" s="328"/>
      <c r="LKB13" s="328"/>
      <c r="LKD13" s="328"/>
      <c r="LKF13" s="328"/>
      <c r="LKH13" s="328"/>
      <c r="LKJ13" s="328"/>
      <c r="LKL13" s="328"/>
      <c r="LKN13" s="328"/>
      <c r="LKP13" s="328"/>
      <c r="LKR13" s="328"/>
      <c r="LKT13" s="328"/>
      <c r="LKV13" s="328"/>
      <c r="LKX13" s="328"/>
      <c r="LKZ13" s="328"/>
      <c r="LLB13" s="328"/>
      <c r="LLD13" s="328"/>
      <c r="LLF13" s="328"/>
      <c r="LLH13" s="328"/>
      <c r="LLJ13" s="328"/>
      <c r="LLL13" s="328"/>
      <c r="LLN13" s="328"/>
      <c r="LLP13" s="328"/>
      <c r="LLR13" s="328"/>
      <c r="LLT13" s="328"/>
      <c r="LLV13" s="328"/>
      <c r="LLX13" s="328"/>
      <c r="LLZ13" s="328"/>
      <c r="LMB13" s="328"/>
      <c r="LMD13" s="328"/>
      <c r="LMF13" s="328"/>
      <c r="LMH13" s="328"/>
      <c r="LMJ13" s="328"/>
      <c r="LML13" s="328"/>
      <c r="LMN13" s="328"/>
      <c r="LMP13" s="328"/>
      <c r="LMR13" s="328"/>
      <c r="LMT13" s="328"/>
      <c r="LMV13" s="328"/>
      <c r="LMX13" s="328"/>
      <c r="LMZ13" s="328"/>
      <c r="LNB13" s="328"/>
      <c r="LND13" s="328"/>
      <c r="LNF13" s="328"/>
      <c r="LNH13" s="328"/>
      <c r="LNJ13" s="328"/>
      <c r="LNL13" s="328"/>
      <c r="LNN13" s="328"/>
      <c r="LNP13" s="328"/>
      <c r="LNR13" s="328"/>
      <c r="LNT13" s="328"/>
      <c r="LNV13" s="328"/>
      <c r="LNX13" s="328"/>
      <c r="LNZ13" s="328"/>
      <c r="LOB13" s="328"/>
      <c r="LOD13" s="328"/>
      <c r="LOF13" s="328"/>
      <c r="LOH13" s="328"/>
      <c r="LOJ13" s="328"/>
      <c r="LOL13" s="328"/>
      <c r="LON13" s="328"/>
      <c r="LOP13" s="328"/>
      <c r="LOR13" s="328"/>
      <c r="LOT13" s="328"/>
      <c r="LOV13" s="328"/>
      <c r="LOX13" s="328"/>
      <c r="LOZ13" s="328"/>
      <c r="LPB13" s="328"/>
      <c r="LPD13" s="328"/>
      <c r="LPF13" s="328"/>
      <c r="LPH13" s="328"/>
      <c r="LPJ13" s="328"/>
      <c r="LPL13" s="328"/>
      <c r="LPN13" s="328"/>
      <c r="LPP13" s="328"/>
      <c r="LPR13" s="328"/>
      <c r="LPT13" s="328"/>
      <c r="LPV13" s="328"/>
      <c r="LPX13" s="328"/>
      <c r="LPZ13" s="328"/>
      <c r="LQB13" s="328"/>
      <c r="LQD13" s="328"/>
      <c r="LQF13" s="328"/>
      <c r="LQH13" s="328"/>
      <c r="LQJ13" s="328"/>
      <c r="LQL13" s="328"/>
      <c r="LQN13" s="328"/>
      <c r="LQP13" s="328"/>
      <c r="LQR13" s="328"/>
      <c r="LQT13" s="328"/>
      <c r="LQV13" s="328"/>
      <c r="LQX13" s="328"/>
      <c r="LQZ13" s="328"/>
      <c r="LRB13" s="328"/>
      <c r="LRD13" s="328"/>
      <c r="LRF13" s="328"/>
      <c r="LRH13" s="328"/>
      <c r="LRJ13" s="328"/>
      <c r="LRL13" s="328"/>
      <c r="LRN13" s="328"/>
      <c r="LRP13" s="328"/>
      <c r="LRR13" s="328"/>
      <c r="LRT13" s="328"/>
      <c r="LRV13" s="328"/>
      <c r="LRX13" s="328"/>
      <c r="LRZ13" s="328"/>
      <c r="LSB13" s="328"/>
      <c r="LSD13" s="328"/>
      <c r="LSF13" s="328"/>
      <c r="LSH13" s="328"/>
      <c r="LSJ13" s="328"/>
      <c r="LSL13" s="328"/>
      <c r="LSN13" s="328"/>
      <c r="LSP13" s="328"/>
      <c r="LSR13" s="328"/>
      <c r="LST13" s="328"/>
      <c r="LSV13" s="328"/>
      <c r="LSX13" s="328"/>
      <c r="LSZ13" s="328"/>
      <c r="LTB13" s="328"/>
      <c r="LTD13" s="328"/>
      <c r="LTF13" s="328"/>
      <c r="LTH13" s="328"/>
      <c r="LTJ13" s="328"/>
      <c r="LTL13" s="328"/>
      <c r="LTN13" s="328"/>
      <c r="LTP13" s="328"/>
      <c r="LTR13" s="328"/>
      <c r="LTT13" s="328"/>
      <c r="LTV13" s="328"/>
      <c r="LTX13" s="328"/>
      <c r="LTZ13" s="328"/>
      <c r="LUB13" s="328"/>
      <c r="LUD13" s="328"/>
      <c r="LUF13" s="328"/>
      <c r="LUH13" s="328"/>
      <c r="LUJ13" s="328"/>
      <c r="LUL13" s="328"/>
      <c r="LUN13" s="328"/>
      <c r="LUP13" s="328"/>
      <c r="LUR13" s="328"/>
      <c r="LUT13" s="328"/>
      <c r="LUV13" s="328"/>
      <c r="LUX13" s="328"/>
      <c r="LUZ13" s="328"/>
      <c r="LVB13" s="328"/>
      <c r="LVD13" s="328"/>
      <c r="LVF13" s="328"/>
      <c r="LVH13" s="328"/>
      <c r="LVJ13" s="328"/>
      <c r="LVL13" s="328"/>
      <c r="LVN13" s="328"/>
      <c r="LVP13" s="328"/>
      <c r="LVR13" s="328"/>
      <c r="LVT13" s="328"/>
      <c r="LVV13" s="328"/>
      <c r="LVX13" s="328"/>
      <c r="LVZ13" s="328"/>
      <c r="LWB13" s="328"/>
      <c r="LWD13" s="328"/>
      <c r="LWF13" s="328"/>
      <c r="LWH13" s="328"/>
      <c r="LWJ13" s="328"/>
      <c r="LWL13" s="328"/>
      <c r="LWN13" s="328"/>
      <c r="LWP13" s="328"/>
      <c r="LWR13" s="328"/>
      <c r="LWT13" s="328"/>
      <c r="LWV13" s="328"/>
      <c r="LWX13" s="328"/>
      <c r="LWZ13" s="328"/>
      <c r="LXB13" s="328"/>
      <c r="LXD13" s="328"/>
      <c r="LXF13" s="328"/>
      <c r="LXH13" s="328"/>
      <c r="LXJ13" s="328"/>
      <c r="LXL13" s="328"/>
      <c r="LXN13" s="328"/>
      <c r="LXP13" s="328"/>
      <c r="LXR13" s="328"/>
      <c r="LXT13" s="328"/>
      <c r="LXV13" s="328"/>
      <c r="LXX13" s="328"/>
      <c r="LXZ13" s="328"/>
      <c r="LYB13" s="328"/>
      <c r="LYD13" s="328"/>
      <c r="LYF13" s="328"/>
      <c r="LYH13" s="328"/>
      <c r="LYJ13" s="328"/>
      <c r="LYL13" s="328"/>
      <c r="LYN13" s="328"/>
      <c r="LYP13" s="328"/>
      <c r="LYR13" s="328"/>
      <c r="LYT13" s="328"/>
      <c r="LYV13" s="328"/>
      <c r="LYX13" s="328"/>
      <c r="LYZ13" s="328"/>
      <c r="LZB13" s="328"/>
      <c r="LZD13" s="328"/>
      <c r="LZF13" s="328"/>
      <c r="LZH13" s="328"/>
      <c r="LZJ13" s="328"/>
      <c r="LZL13" s="328"/>
      <c r="LZN13" s="328"/>
      <c r="LZP13" s="328"/>
      <c r="LZR13" s="328"/>
      <c r="LZT13" s="328"/>
      <c r="LZV13" s="328"/>
      <c r="LZX13" s="328"/>
      <c r="LZZ13" s="328"/>
      <c r="MAB13" s="328"/>
      <c r="MAD13" s="328"/>
      <c r="MAF13" s="328"/>
      <c r="MAH13" s="328"/>
      <c r="MAJ13" s="328"/>
      <c r="MAL13" s="328"/>
      <c r="MAN13" s="328"/>
      <c r="MAP13" s="328"/>
      <c r="MAR13" s="328"/>
      <c r="MAT13" s="328"/>
      <c r="MAV13" s="328"/>
      <c r="MAX13" s="328"/>
      <c r="MAZ13" s="328"/>
      <c r="MBB13" s="328"/>
      <c r="MBD13" s="328"/>
      <c r="MBF13" s="328"/>
      <c r="MBH13" s="328"/>
      <c r="MBJ13" s="328"/>
      <c r="MBL13" s="328"/>
      <c r="MBN13" s="328"/>
      <c r="MBP13" s="328"/>
      <c r="MBR13" s="328"/>
      <c r="MBT13" s="328"/>
      <c r="MBV13" s="328"/>
      <c r="MBX13" s="328"/>
      <c r="MBZ13" s="328"/>
      <c r="MCB13" s="328"/>
      <c r="MCD13" s="328"/>
      <c r="MCF13" s="328"/>
      <c r="MCH13" s="328"/>
      <c r="MCJ13" s="328"/>
      <c r="MCL13" s="328"/>
      <c r="MCN13" s="328"/>
      <c r="MCP13" s="328"/>
      <c r="MCR13" s="328"/>
      <c r="MCT13" s="328"/>
      <c r="MCV13" s="328"/>
      <c r="MCX13" s="328"/>
      <c r="MCZ13" s="328"/>
      <c r="MDB13" s="328"/>
      <c r="MDD13" s="328"/>
      <c r="MDF13" s="328"/>
      <c r="MDH13" s="328"/>
      <c r="MDJ13" s="328"/>
      <c r="MDL13" s="328"/>
      <c r="MDN13" s="328"/>
      <c r="MDP13" s="328"/>
      <c r="MDR13" s="328"/>
      <c r="MDT13" s="328"/>
      <c r="MDV13" s="328"/>
      <c r="MDX13" s="328"/>
      <c r="MDZ13" s="328"/>
      <c r="MEB13" s="328"/>
      <c r="MED13" s="328"/>
      <c r="MEF13" s="328"/>
      <c r="MEH13" s="328"/>
      <c r="MEJ13" s="328"/>
      <c r="MEL13" s="328"/>
      <c r="MEN13" s="328"/>
      <c r="MEP13" s="328"/>
      <c r="MER13" s="328"/>
      <c r="MET13" s="328"/>
      <c r="MEV13" s="328"/>
      <c r="MEX13" s="328"/>
      <c r="MEZ13" s="328"/>
      <c r="MFB13" s="328"/>
      <c r="MFD13" s="328"/>
      <c r="MFF13" s="328"/>
      <c r="MFH13" s="328"/>
      <c r="MFJ13" s="328"/>
      <c r="MFL13" s="328"/>
      <c r="MFN13" s="328"/>
      <c r="MFP13" s="328"/>
      <c r="MFR13" s="328"/>
      <c r="MFT13" s="328"/>
      <c r="MFV13" s="328"/>
      <c r="MFX13" s="328"/>
      <c r="MFZ13" s="328"/>
      <c r="MGB13" s="328"/>
      <c r="MGD13" s="328"/>
      <c r="MGF13" s="328"/>
      <c r="MGH13" s="328"/>
      <c r="MGJ13" s="328"/>
      <c r="MGL13" s="328"/>
      <c r="MGN13" s="328"/>
      <c r="MGP13" s="328"/>
      <c r="MGR13" s="328"/>
      <c r="MGT13" s="328"/>
      <c r="MGV13" s="328"/>
      <c r="MGX13" s="328"/>
      <c r="MGZ13" s="328"/>
      <c r="MHB13" s="328"/>
      <c r="MHD13" s="328"/>
      <c r="MHF13" s="328"/>
      <c r="MHH13" s="328"/>
      <c r="MHJ13" s="328"/>
      <c r="MHL13" s="328"/>
      <c r="MHN13" s="328"/>
      <c r="MHP13" s="328"/>
      <c r="MHR13" s="328"/>
      <c r="MHT13" s="328"/>
      <c r="MHV13" s="328"/>
      <c r="MHX13" s="328"/>
      <c r="MHZ13" s="328"/>
      <c r="MIB13" s="328"/>
      <c r="MID13" s="328"/>
      <c r="MIF13" s="328"/>
      <c r="MIH13" s="328"/>
      <c r="MIJ13" s="328"/>
      <c r="MIL13" s="328"/>
      <c r="MIN13" s="328"/>
      <c r="MIP13" s="328"/>
      <c r="MIR13" s="328"/>
      <c r="MIT13" s="328"/>
      <c r="MIV13" s="328"/>
      <c r="MIX13" s="328"/>
      <c r="MIZ13" s="328"/>
      <c r="MJB13" s="328"/>
      <c r="MJD13" s="328"/>
      <c r="MJF13" s="328"/>
      <c r="MJH13" s="328"/>
      <c r="MJJ13" s="328"/>
      <c r="MJL13" s="328"/>
      <c r="MJN13" s="328"/>
      <c r="MJP13" s="328"/>
      <c r="MJR13" s="328"/>
      <c r="MJT13" s="328"/>
      <c r="MJV13" s="328"/>
      <c r="MJX13" s="328"/>
      <c r="MJZ13" s="328"/>
      <c r="MKB13" s="328"/>
      <c r="MKD13" s="328"/>
      <c r="MKF13" s="328"/>
      <c r="MKH13" s="328"/>
      <c r="MKJ13" s="328"/>
      <c r="MKL13" s="328"/>
      <c r="MKN13" s="328"/>
      <c r="MKP13" s="328"/>
      <c r="MKR13" s="328"/>
      <c r="MKT13" s="328"/>
      <c r="MKV13" s="328"/>
      <c r="MKX13" s="328"/>
      <c r="MKZ13" s="328"/>
      <c r="MLB13" s="328"/>
      <c r="MLD13" s="328"/>
      <c r="MLF13" s="328"/>
      <c r="MLH13" s="328"/>
      <c r="MLJ13" s="328"/>
      <c r="MLL13" s="328"/>
      <c r="MLN13" s="328"/>
      <c r="MLP13" s="328"/>
      <c r="MLR13" s="328"/>
      <c r="MLT13" s="328"/>
      <c r="MLV13" s="328"/>
      <c r="MLX13" s="328"/>
      <c r="MLZ13" s="328"/>
      <c r="MMB13" s="328"/>
      <c r="MMD13" s="328"/>
      <c r="MMF13" s="328"/>
      <c r="MMH13" s="328"/>
      <c r="MMJ13" s="328"/>
      <c r="MML13" s="328"/>
      <c r="MMN13" s="328"/>
      <c r="MMP13" s="328"/>
      <c r="MMR13" s="328"/>
      <c r="MMT13" s="328"/>
      <c r="MMV13" s="328"/>
      <c r="MMX13" s="328"/>
      <c r="MMZ13" s="328"/>
      <c r="MNB13" s="328"/>
      <c r="MND13" s="328"/>
      <c r="MNF13" s="328"/>
      <c r="MNH13" s="328"/>
      <c r="MNJ13" s="328"/>
      <c r="MNL13" s="328"/>
      <c r="MNN13" s="328"/>
      <c r="MNP13" s="328"/>
      <c r="MNR13" s="328"/>
      <c r="MNT13" s="328"/>
      <c r="MNV13" s="328"/>
      <c r="MNX13" s="328"/>
      <c r="MNZ13" s="328"/>
      <c r="MOB13" s="328"/>
      <c r="MOD13" s="328"/>
      <c r="MOF13" s="328"/>
      <c r="MOH13" s="328"/>
      <c r="MOJ13" s="328"/>
      <c r="MOL13" s="328"/>
      <c r="MON13" s="328"/>
      <c r="MOP13" s="328"/>
      <c r="MOR13" s="328"/>
      <c r="MOT13" s="328"/>
      <c r="MOV13" s="328"/>
      <c r="MOX13" s="328"/>
      <c r="MOZ13" s="328"/>
      <c r="MPB13" s="328"/>
      <c r="MPD13" s="328"/>
      <c r="MPF13" s="328"/>
      <c r="MPH13" s="328"/>
      <c r="MPJ13" s="328"/>
      <c r="MPL13" s="328"/>
      <c r="MPN13" s="328"/>
      <c r="MPP13" s="328"/>
      <c r="MPR13" s="328"/>
      <c r="MPT13" s="328"/>
      <c r="MPV13" s="328"/>
      <c r="MPX13" s="328"/>
      <c r="MPZ13" s="328"/>
      <c r="MQB13" s="328"/>
      <c r="MQD13" s="328"/>
      <c r="MQF13" s="328"/>
      <c r="MQH13" s="328"/>
      <c r="MQJ13" s="328"/>
      <c r="MQL13" s="328"/>
      <c r="MQN13" s="328"/>
      <c r="MQP13" s="328"/>
      <c r="MQR13" s="328"/>
      <c r="MQT13" s="328"/>
      <c r="MQV13" s="328"/>
      <c r="MQX13" s="328"/>
      <c r="MQZ13" s="328"/>
      <c r="MRB13" s="328"/>
      <c r="MRD13" s="328"/>
      <c r="MRF13" s="328"/>
      <c r="MRH13" s="328"/>
      <c r="MRJ13" s="328"/>
      <c r="MRL13" s="328"/>
      <c r="MRN13" s="328"/>
      <c r="MRP13" s="328"/>
      <c r="MRR13" s="328"/>
      <c r="MRT13" s="328"/>
      <c r="MRV13" s="328"/>
      <c r="MRX13" s="328"/>
      <c r="MRZ13" s="328"/>
      <c r="MSB13" s="328"/>
      <c r="MSD13" s="328"/>
      <c r="MSF13" s="328"/>
      <c r="MSH13" s="328"/>
      <c r="MSJ13" s="328"/>
      <c r="MSL13" s="328"/>
      <c r="MSN13" s="328"/>
      <c r="MSP13" s="328"/>
      <c r="MSR13" s="328"/>
      <c r="MST13" s="328"/>
      <c r="MSV13" s="328"/>
      <c r="MSX13" s="328"/>
      <c r="MSZ13" s="328"/>
      <c r="MTB13" s="328"/>
      <c r="MTD13" s="328"/>
      <c r="MTF13" s="328"/>
      <c r="MTH13" s="328"/>
      <c r="MTJ13" s="328"/>
      <c r="MTL13" s="328"/>
      <c r="MTN13" s="328"/>
      <c r="MTP13" s="328"/>
      <c r="MTR13" s="328"/>
      <c r="MTT13" s="328"/>
      <c r="MTV13" s="328"/>
      <c r="MTX13" s="328"/>
      <c r="MTZ13" s="328"/>
      <c r="MUB13" s="328"/>
      <c r="MUD13" s="328"/>
      <c r="MUF13" s="328"/>
      <c r="MUH13" s="328"/>
      <c r="MUJ13" s="328"/>
      <c r="MUL13" s="328"/>
      <c r="MUN13" s="328"/>
      <c r="MUP13" s="328"/>
      <c r="MUR13" s="328"/>
      <c r="MUT13" s="328"/>
      <c r="MUV13" s="328"/>
      <c r="MUX13" s="328"/>
      <c r="MUZ13" s="328"/>
      <c r="MVB13" s="328"/>
      <c r="MVD13" s="328"/>
      <c r="MVF13" s="328"/>
      <c r="MVH13" s="328"/>
      <c r="MVJ13" s="328"/>
      <c r="MVL13" s="328"/>
      <c r="MVN13" s="328"/>
      <c r="MVP13" s="328"/>
      <c r="MVR13" s="328"/>
      <c r="MVT13" s="328"/>
      <c r="MVV13" s="328"/>
      <c r="MVX13" s="328"/>
      <c r="MVZ13" s="328"/>
      <c r="MWB13" s="328"/>
      <c r="MWD13" s="328"/>
      <c r="MWF13" s="328"/>
      <c r="MWH13" s="328"/>
      <c r="MWJ13" s="328"/>
      <c r="MWL13" s="328"/>
      <c r="MWN13" s="328"/>
      <c r="MWP13" s="328"/>
      <c r="MWR13" s="328"/>
      <c r="MWT13" s="328"/>
      <c r="MWV13" s="328"/>
      <c r="MWX13" s="328"/>
      <c r="MWZ13" s="328"/>
      <c r="MXB13" s="328"/>
      <c r="MXD13" s="328"/>
      <c r="MXF13" s="328"/>
      <c r="MXH13" s="328"/>
      <c r="MXJ13" s="328"/>
      <c r="MXL13" s="328"/>
      <c r="MXN13" s="328"/>
      <c r="MXP13" s="328"/>
      <c r="MXR13" s="328"/>
      <c r="MXT13" s="328"/>
      <c r="MXV13" s="328"/>
      <c r="MXX13" s="328"/>
      <c r="MXZ13" s="328"/>
      <c r="MYB13" s="328"/>
      <c r="MYD13" s="328"/>
      <c r="MYF13" s="328"/>
      <c r="MYH13" s="328"/>
      <c r="MYJ13" s="328"/>
      <c r="MYL13" s="328"/>
      <c r="MYN13" s="328"/>
      <c r="MYP13" s="328"/>
      <c r="MYR13" s="328"/>
      <c r="MYT13" s="328"/>
      <c r="MYV13" s="328"/>
      <c r="MYX13" s="328"/>
      <c r="MYZ13" s="328"/>
      <c r="MZB13" s="328"/>
      <c r="MZD13" s="328"/>
      <c r="MZF13" s="328"/>
      <c r="MZH13" s="328"/>
      <c r="MZJ13" s="328"/>
      <c r="MZL13" s="328"/>
      <c r="MZN13" s="328"/>
      <c r="MZP13" s="328"/>
      <c r="MZR13" s="328"/>
      <c r="MZT13" s="328"/>
      <c r="MZV13" s="328"/>
      <c r="MZX13" s="328"/>
      <c r="MZZ13" s="328"/>
      <c r="NAB13" s="328"/>
      <c r="NAD13" s="328"/>
      <c r="NAF13" s="328"/>
      <c r="NAH13" s="328"/>
      <c r="NAJ13" s="328"/>
      <c r="NAL13" s="328"/>
      <c r="NAN13" s="328"/>
      <c r="NAP13" s="328"/>
      <c r="NAR13" s="328"/>
      <c r="NAT13" s="328"/>
      <c r="NAV13" s="328"/>
      <c r="NAX13" s="328"/>
      <c r="NAZ13" s="328"/>
      <c r="NBB13" s="328"/>
      <c r="NBD13" s="328"/>
      <c r="NBF13" s="328"/>
      <c r="NBH13" s="328"/>
      <c r="NBJ13" s="328"/>
      <c r="NBL13" s="328"/>
      <c r="NBN13" s="328"/>
      <c r="NBP13" s="328"/>
      <c r="NBR13" s="328"/>
      <c r="NBT13" s="328"/>
      <c r="NBV13" s="328"/>
      <c r="NBX13" s="328"/>
      <c r="NBZ13" s="328"/>
      <c r="NCB13" s="328"/>
      <c r="NCD13" s="328"/>
      <c r="NCF13" s="328"/>
      <c r="NCH13" s="328"/>
      <c r="NCJ13" s="328"/>
      <c r="NCL13" s="328"/>
      <c r="NCN13" s="328"/>
      <c r="NCP13" s="328"/>
      <c r="NCR13" s="328"/>
      <c r="NCT13" s="328"/>
      <c r="NCV13" s="328"/>
      <c r="NCX13" s="328"/>
      <c r="NCZ13" s="328"/>
      <c r="NDB13" s="328"/>
      <c r="NDD13" s="328"/>
      <c r="NDF13" s="328"/>
      <c r="NDH13" s="328"/>
      <c r="NDJ13" s="328"/>
      <c r="NDL13" s="328"/>
      <c r="NDN13" s="328"/>
      <c r="NDP13" s="328"/>
      <c r="NDR13" s="328"/>
      <c r="NDT13" s="328"/>
      <c r="NDV13" s="328"/>
      <c r="NDX13" s="328"/>
      <c r="NDZ13" s="328"/>
      <c r="NEB13" s="328"/>
      <c r="NED13" s="328"/>
      <c r="NEF13" s="328"/>
      <c r="NEH13" s="328"/>
      <c r="NEJ13" s="328"/>
      <c r="NEL13" s="328"/>
      <c r="NEN13" s="328"/>
      <c r="NEP13" s="328"/>
      <c r="NER13" s="328"/>
      <c r="NET13" s="328"/>
      <c r="NEV13" s="328"/>
      <c r="NEX13" s="328"/>
      <c r="NEZ13" s="328"/>
      <c r="NFB13" s="328"/>
      <c r="NFD13" s="328"/>
      <c r="NFF13" s="328"/>
      <c r="NFH13" s="328"/>
      <c r="NFJ13" s="328"/>
      <c r="NFL13" s="328"/>
      <c r="NFN13" s="328"/>
      <c r="NFP13" s="328"/>
      <c r="NFR13" s="328"/>
      <c r="NFT13" s="328"/>
      <c r="NFV13" s="328"/>
      <c r="NFX13" s="328"/>
      <c r="NFZ13" s="328"/>
      <c r="NGB13" s="328"/>
      <c r="NGD13" s="328"/>
      <c r="NGF13" s="328"/>
      <c r="NGH13" s="328"/>
      <c r="NGJ13" s="328"/>
      <c r="NGL13" s="328"/>
      <c r="NGN13" s="328"/>
      <c r="NGP13" s="328"/>
      <c r="NGR13" s="328"/>
      <c r="NGT13" s="328"/>
      <c r="NGV13" s="328"/>
      <c r="NGX13" s="328"/>
      <c r="NGZ13" s="328"/>
      <c r="NHB13" s="328"/>
      <c r="NHD13" s="328"/>
      <c r="NHF13" s="328"/>
      <c r="NHH13" s="328"/>
      <c r="NHJ13" s="328"/>
      <c r="NHL13" s="328"/>
      <c r="NHN13" s="328"/>
      <c r="NHP13" s="328"/>
      <c r="NHR13" s="328"/>
      <c r="NHT13" s="328"/>
      <c r="NHV13" s="328"/>
      <c r="NHX13" s="328"/>
      <c r="NHZ13" s="328"/>
      <c r="NIB13" s="328"/>
      <c r="NID13" s="328"/>
      <c r="NIF13" s="328"/>
      <c r="NIH13" s="328"/>
      <c r="NIJ13" s="328"/>
      <c r="NIL13" s="328"/>
      <c r="NIN13" s="328"/>
      <c r="NIP13" s="328"/>
      <c r="NIR13" s="328"/>
      <c r="NIT13" s="328"/>
      <c r="NIV13" s="328"/>
      <c r="NIX13" s="328"/>
      <c r="NIZ13" s="328"/>
      <c r="NJB13" s="328"/>
      <c r="NJD13" s="328"/>
      <c r="NJF13" s="328"/>
      <c r="NJH13" s="328"/>
      <c r="NJJ13" s="328"/>
      <c r="NJL13" s="328"/>
      <c r="NJN13" s="328"/>
      <c r="NJP13" s="328"/>
      <c r="NJR13" s="328"/>
      <c r="NJT13" s="328"/>
      <c r="NJV13" s="328"/>
      <c r="NJX13" s="328"/>
      <c r="NJZ13" s="328"/>
      <c r="NKB13" s="328"/>
      <c r="NKD13" s="328"/>
      <c r="NKF13" s="328"/>
      <c r="NKH13" s="328"/>
      <c r="NKJ13" s="328"/>
      <c r="NKL13" s="328"/>
      <c r="NKN13" s="328"/>
      <c r="NKP13" s="328"/>
      <c r="NKR13" s="328"/>
      <c r="NKT13" s="328"/>
      <c r="NKV13" s="328"/>
      <c r="NKX13" s="328"/>
      <c r="NKZ13" s="328"/>
      <c r="NLB13" s="328"/>
      <c r="NLD13" s="328"/>
      <c r="NLF13" s="328"/>
      <c r="NLH13" s="328"/>
      <c r="NLJ13" s="328"/>
      <c r="NLL13" s="328"/>
      <c r="NLN13" s="328"/>
      <c r="NLP13" s="328"/>
      <c r="NLR13" s="328"/>
      <c r="NLT13" s="328"/>
      <c r="NLV13" s="328"/>
      <c r="NLX13" s="328"/>
      <c r="NLZ13" s="328"/>
      <c r="NMB13" s="328"/>
      <c r="NMD13" s="328"/>
      <c r="NMF13" s="328"/>
      <c r="NMH13" s="328"/>
      <c r="NMJ13" s="328"/>
      <c r="NML13" s="328"/>
      <c r="NMN13" s="328"/>
      <c r="NMP13" s="328"/>
      <c r="NMR13" s="328"/>
      <c r="NMT13" s="328"/>
      <c r="NMV13" s="328"/>
      <c r="NMX13" s="328"/>
      <c r="NMZ13" s="328"/>
      <c r="NNB13" s="328"/>
      <c r="NND13" s="328"/>
      <c r="NNF13" s="328"/>
      <c r="NNH13" s="328"/>
      <c r="NNJ13" s="328"/>
      <c r="NNL13" s="328"/>
      <c r="NNN13" s="328"/>
      <c r="NNP13" s="328"/>
      <c r="NNR13" s="328"/>
      <c r="NNT13" s="328"/>
      <c r="NNV13" s="328"/>
      <c r="NNX13" s="328"/>
      <c r="NNZ13" s="328"/>
      <c r="NOB13" s="328"/>
      <c r="NOD13" s="328"/>
      <c r="NOF13" s="328"/>
      <c r="NOH13" s="328"/>
      <c r="NOJ13" s="328"/>
      <c r="NOL13" s="328"/>
      <c r="NON13" s="328"/>
      <c r="NOP13" s="328"/>
      <c r="NOR13" s="328"/>
      <c r="NOT13" s="328"/>
      <c r="NOV13" s="328"/>
      <c r="NOX13" s="328"/>
      <c r="NOZ13" s="328"/>
      <c r="NPB13" s="328"/>
      <c r="NPD13" s="328"/>
      <c r="NPF13" s="328"/>
      <c r="NPH13" s="328"/>
      <c r="NPJ13" s="328"/>
      <c r="NPL13" s="328"/>
      <c r="NPN13" s="328"/>
      <c r="NPP13" s="328"/>
      <c r="NPR13" s="328"/>
      <c r="NPT13" s="328"/>
      <c r="NPV13" s="328"/>
      <c r="NPX13" s="328"/>
      <c r="NPZ13" s="328"/>
      <c r="NQB13" s="328"/>
      <c r="NQD13" s="328"/>
      <c r="NQF13" s="328"/>
      <c r="NQH13" s="328"/>
      <c r="NQJ13" s="328"/>
      <c r="NQL13" s="328"/>
      <c r="NQN13" s="328"/>
      <c r="NQP13" s="328"/>
      <c r="NQR13" s="328"/>
      <c r="NQT13" s="328"/>
      <c r="NQV13" s="328"/>
      <c r="NQX13" s="328"/>
      <c r="NQZ13" s="328"/>
      <c r="NRB13" s="328"/>
      <c r="NRD13" s="328"/>
      <c r="NRF13" s="328"/>
      <c r="NRH13" s="328"/>
      <c r="NRJ13" s="328"/>
      <c r="NRL13" s="328"/>
      <c r="NRN13" s="328"/>
      <c r="NRP13" s="328"/>
      <c r="NRR13" s="328"/>
      <c r="NRT13" s="328"/>
      <c r="NRV13" s="328"/>
      <c r="NRX13" s="328"/>
      <c r="NRZ13" s="328"/>
      <c r="NSB13" s="328"/>
      <c r="NSD13" s="328"/>
      <c r="NSF13" s="328"/>
      <c r="NSH13" s="328"/>
      <c r="NSJ13" s="328"/>
      <c r="NSL13" s="328"/>
      <c r="NSN13" s="328"/>
      <c r="NSP13" s="328"/>
      <c r="NSR13" s="328"/>
      <c r="NST13" s="328"/>
      <c r="NSV13" s="328"/>
      <c r="NSX13" s="328"/>
      <c r="NSZ13" s="328"/>
      <c r="NTB13" s="328"/>
      <c r="NTD13" s="328"/>
      <c r="NTF13" s="328"/>
      <c r="NTH13" s="328"/>
      <c r="NTJ13" s="328"/>
      <c r="NTL13" s="328"/>
      <c r="NTN13" s="328"/>
      <c r="NTP13" s="328"/>
      <c r="NTR13" s="328"/>
      <c r="NTT13" s="328"/>
      <c r="NTV13" s="328"/>
      <c r="NTX13" s="328"/>
      <c r="NTZ13" s="328"/>
      <c r="NUB13" s="328"/>
      <c r="NUD13" s="328"/>
      <c r="NUF13" s="328"/>
      <c r="NUH13" s="328"/>
      <c r="NUJ13" s="328"/>
      <c r="NUL13" s="328"/>
      <c r="NUN13" s="328"/>
      <c r="NUP13" s="328"/>
      <c r="NUR13" s="328"/>
      <c r="NUT13" s="328"/>
      <c r="NUV13" s="328"/>
      <c r="NUX13" s="328"/>
      <c r="NUZ13" s="328"/>
      <c r="NVB13" s="328"/>
      <c r="NVD13" s="328"/>
      <c r="NVF13" s="328"/>
      <c r="NVH13" s="328"/>
      <c r="NVJ13" s="328"/>
      <c r="NVL13" s="328"/>
      <c r="NVN13" s="328"/>
      <c r="NVP13" s="328"/>
      <c r="NVR13" s="328"/>
      <c r="NVT13" s="328"/>
      <c r="NVV13" s="328"/>
      <c r="NVX13" s="328"/>
      <c r="NVZ13" s="328"/>
      <c r="NWB13" s="328"/>
      <c r="NWD13" s="328"/>
      <c r="NWF13" s="328"/>
      <c r="NWH13" s="328"/>
      <c r="NWJ13" s="328"/>
      <c r="NWL13" s="328"/>
      <c r="NWN13" s="328"/>
      <c r="NWP13" s="328"/>
      <c r="NWR13" s="328"/>
      <c r="NWT13" s="328"/>
      <c r="NWV13" s="328"/>
      <c r="NWX13" s="328"/>
      <c r="NWZ13" s="328"/>
      <c r="NXB13" s="328"/>
      <c r="NXD13" s="328"/>
      <c r="NXF13" s="328"/>
      <c r="NXH13" s="328"/>
      <c r="NXJ13" s="328"/>
      <c r="NXL13" s="328"/>
      <c r="NXN13" s="328"/>
      <c r="NXP13" s="328"/>
      <c r="NXR13" s="328"/>
      <c r="NXT13" s="328"/>
      <c r="NXV13" s="328"/>
      <c r="NXX13" s="328"/>
      <c r="NXZ13" s="328"/>
      <c r="NYB13" s="328"/>
      <c r="NYD13" s="328"/>
      <c r="NYF13" s="328"/>
      <c r="NYH13" s="328"/>
      <c r="NYJ13" s="328"/>
      <c r="NYL13" s="328"/>
      <c r="NYN13" s="328"/>
      <c r="NYP13" s="328"/>
      <c r="NYR13" s="328"/>
      <c r="NYT13" s="328"/>
      <c r="NYV13" s="328"/>
      <c r="NYX13" s="328"/>
      <c r="NYZ13" s="328"/>
      <c r="NZB13" s="328"/>
      <c r="NZD13" s="328"/>
      <c r="NZF13" s="328"/>
      <c r="NZH13" s="328"/>
      <c r="NZJ13" s="328"/>
      <c r="NZL13" s="328"/>
      <c r="NZN13" s="328"/>
      <c r="NZP13" s="328"/>
      <c r="NZR13" s="328"/>
      <c r="NZT13" s="328"/>
      <c r="NZV13" s="328"/>
      <c r="NZX13" s="328"/>
      <c r="NZZ13" s="328"/>
      <c r="OAB13" s="328"/>
      <c r="OAD13" s="328"/>
      <c r="OAF13" s="328"/>
      <c r="OAH13" s="328"/>
      <c r="OAJ13" s="328"/>
      <c r="OAL13" s="328"/>
      <c r="OAN13" s="328"/>
      <c r="OAP13" s="328"/>
      <c r="OAR13" s="328"/>
      <c r="OAT13" s="328"/>
      <c r="OAV13" s="328"/>
      <c r="OAX13" s="328"/>
      <c r="OAZ13" s="328"/>
      <c r="OBB13" s="328"/>
      <c r="OBD13" s="328"/>
      <c r="OBF13" s="328"/>
      <c r="OBH13" s="328"/>
      <c r="OBJ13" s="328"/>
      <c r="OBL13" s="328"/>
      <c r="OBN13" s="328"/>
      <c r="OBP13" s="328"/>
      <c r="OBR13" s="328"/>
      <c r="OBT13" s="328"/>
      <c r="OBV13" s="328"/>
      <c r="OBX13" s="328"/>
      <c r="OBZ13" s="328"/>
      <c r="OCB13" s="328"/>
      <c r="OCD13" s="328"/>
      <c r="OCF13" s="328"/>
      <c r="OCH13" s="328"/>
      <c r="OCJ13" s="328"/>
      <c r="OCL13" s="328"/>
      <c r="OCN13" s="328"/>
      <c r="OCP13" s="328"/>
      <c r="OCR13" s="328"/>
      <c r="OCT13" s="328"/>
      <c r="OCV13" s="328"/>
      <c r="OCX13" s="328"/>
      <c r="OCZ13" s="328"/>
      <c r="ODB13" s="328"/>
      <c r="ODD13" s="328"/>
      <c r="ODF13" s="328"/>
      <c r="ODH13" s="328"/>
      <c r="ODJ13" s="328"/>
      <c r="ODL13" s="328"/>
      <c r="ODN13" s="328"/>
      <c r="ODP13" s="328"/>
      <c r="ODR13" s="328"/>
      <c r="ODT13" s="328"/>
      <c r="ODV13" s="328"/>
      <c r="ODX13" s="328"/>
      <c r="ODZ13" s="328"/>
      <c r="OEB13" s="328"/>
      <c r="OED13" s="328"/>
      <c r="OEF13" s="328"/>
      <c r="OEH13" s="328"/>
      <c r="OEJ13" s="328"/>
      <c r="OEL13" s="328"/>
      <c r="OEN13" s="328"/>
      <c r="OEP13" s="328"/>
      <c r="OER13" s="328"/>
      <c r="OET13" s="328"/>
      <c r="OEV13" s="328"/>
      <c r="OEX13" s="328"/>
      <c r="OEZ13" s="328"/>
      <c r="OFB13" s="328"/>
      <c r="OFD13" s="328"/>
      <c r="OFF13" s="328"/>
      <c r="OFH13" s="328"/>
      <c r="OFJ13" s="328"/>
      <c r="OFL13" s="328"/>
      <c r="OFN13" s="328"/>
      <c r="OFP13" s="328"/>
      <c r="OFR13" s="328"/>
      <c r="OFT13" s="328"/>
      <c r="OFV13" s="328"/>
      <c r="OFX13" s="328"/>
      <c r="OFZ13" s="328"/>
      <c r="OGB13" s="328"/>
      <c r="OGD13" s="328"/>
      <c r="OGF13" s="328"/>
      <c r="OGH13" s="328"/>
      <c r="OGJ13" s="328"/>
      <c r="OGL13" s="328"/>
      <c r="OGN13" s="328"/>
      <c r="OGP13" s="328"/>
      <c r="OGR13" s="328"/>
      <c r="OGT13" s="328"/>
      <c r="OGV13" s="328"/>
      <c r="OGX13" s="328"/>
      <c r="OGZ13" s="328"/>
      <c r="OHB13" s="328"/>
      <c r="OHD13" s="328"/>
      <c r="OHF13" s="328"/>
      <c r="OHH13" s="328"/>
      <c r="OHJ13" s="328"/>
      <c r="OHL13" s="328"/>
      <c r="OHN13" s="328"/>
      <c r="OHP13" s="328"/>
      <c r="OHR13" s="328"/>
      <c r="OHT13" s="328"/>
      <c r="OHV13" s="328"/>
      <c r="OHX13" s="328"/>
      <c r="OHZ13" s="328"/>
      <c r="OIB13" s="328"/>
      <c r="OID13" s="328"/>
      <c r="OIF13" s="328"/>
      <c r="OIH13" s="328"/>
      <c r="OIJ13" s="328"/>
      <c r="OIL13" s="328"/>
      <c r="OIN13" s="328"/>
      <c r="OIP13" s="328"/>
      <c r="OIR13" s="328"/>
      <c r="OIT13" s="328"/>
      <c r="OIV13" s="328"/>
      <c r="OIX13" s="328"/>
      <c r="OIZ13" s="328"/>
      <c r="OJB13" s="328"/>
      <c r="OJD13" s="328"/>
      <c r="OJF13" s="328"/>
      <c r="OJH13" s="328"/>
      <c r="OJJ13" s="328"/>
      <c r="OJL13" s="328"/>
      <c r="OJN13" s="328"/>
      <c r="OJP13" s="328"/>
      <c r="OJR13" s="328"/>
      <c r="OJT13" s="328"/>
      <c r="OJV13" s="328"/>
      <c r="OJX13" s="328"/>
      <c r="OJZ13" s="328"/>
      <c r="OKB13" s="328"/>
      <c r="OKD13" s="328"/>
      <c r="OKF13" s="328"/>
      <c r="OKH13" s="328"/>
      <c r="OKJ13" s="328"/>
      <c r="OKL13" s="328"/>
      <c r="OKN13" s="328"/>
      <c r="OKP13" s="328"/>
      <c r="OKR13" s="328"/>
      <c r="OKT13" s="328"/>
      <c r="OKV13" s="328"/>
      <c r="OKX13" s="328"/>
      <c r="OKZ13" s="328"/>
      <c r="OLB13" s="328"/>
      <c r="OLD13" s="328"/>
      <c r="OLF13" s="328"/>
      <c r="OLH13" s="328"/>
      <c r="OLJ13" s="328"/>
      <c r="OLL13" s="328"/>
      <c r="OLN13" s="328"/>
      <c r="OLP13" s="328"/>
      <c r="OLR13" s="328"/>
      <c r="OLT13" s="328"/>
      <c r="OLV13" s="328"/>
      <c r="OLX13" s="328"/>
      <c r="OLZ13" s="328"/>
      <c r="OMB13" s="328"/>
      <c r="OMD13" s="328"/>
      <c r="OMF13" s="328"/>
      <c r="OMH13" s="328"/>
      <c r="OMJ13" s="328"/>
      <c r="OML13" s="328"/>
      <c r="OMN13" s="328"/>
      <c r="OMP13" s="328"/>
      <c r="OMR13" s="328"/>
      <c r="OMT13" s="328"/>
      <c r="OMV13" s="328"/>
      <c r="OMX13" s="328"/>
      <c r="OMZ13" s="328"/>
      <c r="ONB13" s="328"/>
      <c r="OND13" s="328"/>
      <c r="ONF13" s="328"/>
      <c r="ONH13" s="328"/>
      <c r="ONJ13" s="328"/>
      <c r="ONL13" s="328"/>
      <c r="ONN13" s="328"/>
      <c r="ONP13" s="328"/>
      <c r="ONR13" s="328"/>
      <c r="ONT13" s="328"/>
      <c r="ONV13" s="328"/>
      <c r="ONX13" s="328"/>
      <c r="ONZ13" s="328"/>
      <c r="OOB13" s="328"/>
      <c r="OOD13" s="328"/>
      <c r="OOF13" s="328"/>
      <c r="OOH13" s="328"/>
      <c r="OOJ13" s="328"/>
      <c r="OOL13" s="328"/>
      <c r="OON13" s="328"/>
      <c r="OOP13" s="328"/>
      <c r="OOR13" s="328"/>
      <c r="OOT13" s="328"/>
      <c r="OOV13" s="328"/>
      <c r="OOX13" s="328"/>
      <c r="OOZ13" s="328"/>
      <c r="OPB13" s="328"/>
      <c r="OPD13" s="328"/>
      <c r="OPF13" s="328"/>
      <c r="OPH13" s="328"/>
      <c r="OPJ13" s="328"/>
      <c r="OPL13" s="328"/>
      <c r="OPN13" s="328"/>
      <c r="OPP13" s="328"/>
      <c r="OPR13" s="328"/>
      <c r="OPT13" s="328"/>
      <c r="OPV13" s="328"/>
      <c r="OPX13" s="328"/>
      <c r="OPZ13" s="328"/>
      <c r="OQB13" s="328"/>
      <c r="OQD13" s="328"/>
      <c r="OQF13" s="328"/>
      <c r="OQH13" s="328"/>
      <c r="OQJ13" s="328"/>
      <c r="OQL13" s="328"/>
      <c r="OQN13" s="328"/>
      <c r="OQP13" s="328"/>
      <c r="OQR13" s="328"/>
      <c r="OQT13" s="328"/>
      <c r="OQV13" s="328"/>
      <c r="OQX13" s="328"/>
      <c r="OQZ13" s="328"/>
      <c r="ORB13" s="328"/>
      <c r="ORD13" s="328"/>
      <c r="ORF13" s="328"/>
      <c r="ORH13" s="328"/>
      <c r="ORJ13" s="328"/>
      <c r="ORL13" s="328"/>
      <c r="ORN13" s="328"/>
      <c r="ORP13" s="328"/>
      <c r="ORR13" s="328"/>
      <c r="ORT13" s="328"/>
      <c r="ORV13" s="328"/>
      <c r="ORX13" s="328"/>
      <c r="ORZ13" s="328"/>
      <c r="OSB13" s="328"/>
      <c r="OSD13" s="328"/>
      <c r="OSF13" s="328"/>
      <c r="OSH13" s="328"/>
      <c r="OSJ13" s="328"/>
      <c r="OSL13" s="328"/>
      <c r="OSN13" s="328"/>
      <c r="OSP13" s="328"/>
      <c r="OSR13" s="328"/>
      <c r="OST13" s="328"/>
      <c r="OSV13" s="328"/>
      <c r="OSX13" s="328"/>
      <c r="OSZ13" s="328"/>
      <c r="OTB13" s="328"/>
      <c r="OTD13" s="328"/>
      <c r="OTF13" s="328"/>
      <c r="OTH13" s="328"/>
      <c r="OTJ13" s="328"/>
      <c r="OTL13" s="328"/>
      <c r="OTN13" s="328"/>
      <c r="OTP13" s="328"/>
      <c r="OTR13" s="328"/>
      <c r="OTT13" s="328"/>
      <c r="OTV13" s="328"/>
      <c r="OTX13" s="328"/>
      <c r="OTZ13" s="328"/>
      <c r="OUB13" s="328"/>
      <c r="OUD13" s="328"/>
      <c r="OUF13" s="328"/>
      <c r="OUH13" s="328"/>
      <c r="OUJ13" s="328"/>
      <c r="OUL13" s="328"/>
      <c r="OUN13" s="328"/>
      <c r="OUP13" s="328"/>
      <c r="OUR13" s="328"/>
      <c r="OUT13" s="328"/>
      <c r="OUV13" s="328"/>
      <c r="OUX13" s="328"/>
      <c r="OUZ13" s="328"/>
      <c r="OVB13" s="328"/>
      <c r="OVD13" s="328"/>
      <c r="OVF13" s="328"/>
      <c r="OVH13" s="328"/>
      <c r="OVJ13" s="328"/>
      <c r="OVL13" s="328"/>
      <c r="OVN13" s="328"/>
      <c r="OVP13" s="328"/>
      <c r="OVR13" s="328"/>
      <c r="OVT13" s="328"/>
      <c r="OVV13" s="328"/>
      <c r="OVX13" s="328"/>
      <c r="OVZ13" s="328"/>
      <c r="OWB13" s="328"/>
      <c r="OWD13" s="328"/>
      <c r="OWF13" s="328"/>
      <c r="OWH13" s="328"/>
      <c r="OWJ13" s="328"/>
      <c r="OWL13" s="328"/>
      <c r="OWN13" s="328"/>
      <c r="OWP13" s="328"/>
      <c r="OWR13" s="328"/>
      <c r="OWT13" s="328"/>
      <c r="OWV13" s="328"/>
      <c r="OWX13" s="328"/>
      <c r="OWZ13" s="328"/>
      <c r="OXB13" s="328"/>
      <c r="OXD13" s="328"/>
      <c r="OXF13" s="328"/>
      <c r="OXH13" s="328"/>
      <c r="OXJ13" s="328"/>
      <c r="OXL13" s="328"/>
      <c r="OXN13" s="328"/>
      <c r="OXP13" s="328"/>
      <c r="OXR13" s="328"/>
      <c r="OXT13" s="328"/>
      <c r="OXV13" s="328"/>
      <c r="OXX13" s="328"/>
      <c r="OXZ13" s="328"/>
      <c r="OYB13" s="328"/>
      <c r="OYD13" s="328"/>
      <c r="OYF13" s="328"/>
      <c r="OYH13" s="328"/>
      <c r="OYJ13" s="328"/>
      <c r="OYL13" s="328"/>
      <c r="OYN13" s="328"/>
      <c r="OYP13" s="328"/>
      <c r="OYR13" s="328"/>
      <c r="OYT13" s="328"/>
      <c r="OYV13" s="328"/>
      <c r="OYX13" s="328"/>
      <c r="OYZ13" s="328"/>
      <c r="OZB13" s="328"/>
      <c r="OZD13" s="328"/>
      <c r="OZF13" s="328"/>
      <c r="OZH13" s="328"/>
      <c r="OZJ13" s="328"/>
      <c r="OZL13" s="328"/>
      <c r="OZN13" s="328"/>
      <c r="OZP13" s="328"/>
      <c r="OZR13" s="328"/>
      <c r="OZT13" s="328"/>
      <c r="OZV13" s="328"/>
      <c r="OZX13" s="328"/>
      <c r="OZZ13" s="328"/>
      <c r="PAB13" s="328"/>
      <c r="PAD13" s="328"/>
      <c r="PAF13" s="328"/>
      <c r="PAH13" s="328"/>
      <c r="PAJ13" s="328"/>
      <c r="PAL13" s="328"/>
      <c r="PAN13" s="328"/>
      <c r="PAP13" s="328"/>
      <c r="PAR13" s="328"/>
      <c r="PAT13" s="328"/>
      <c r="PAV13" s="328"/>
      <c r="PAX13" s="328"/>
      <c r="PAZ13" s="328"/>
      <c r="PBB13" s="328"/>
      <c r="PBD13" s="328"/>
      <c r="PBF13" s="328"/>
      <c r="PBH13" s="328"/>
      <c r="PBJ13" s="328"/>
      <c r="PBL13" s="328"/>
      <c r="PBN13" s="328"/>
      <c r="PBP13" s="328"/>
      <c r="PBR13" s="328"/>
      <c r="PBT13" s="328"/>
      <c r="PBV13" s="328"/>
      <c r="PBX13" s="328"/>
      <c r="PBZ13" s="328"/>
      <c r="PCB13" s="328"/>
      <c r="PCD13" s="328"/>
      <c r="PCF13" s="328"/>
      <c r="PCH13" s="328"/>
      <c r="PCJ13" s="328"/>
      <c r="PCL13" s="328"/>
      <c r="PCN13" s="328"/>
      <c r="PCP13" s="328"/>
      <c r="PCR13" s="328"/>
      <c r="PCT13" s="328"/>
      <c r="PCV13" s="328"/>
      <c r="PCX13" s="328"/>
      <c r="PCZ13" s="328"/>
      <c r="PDB13" s="328"/>
      <c r="PDD13" s="328"/>
      <c r="PDF13" s="328"/>
      <c r="PDH13" s="328"/>
      <c r="PDJ13" s="328"/>
      <c r="PDL13" s="328"/>
      <c r="PDN13" s="328"/>
      <c r="PDP13" s="328"/>
      <c r="PDR13" s="328"/>
      <c r="PDT13" s="328"/>
      <c r="PDV13" s="328"/>
      <c r="PDX13" s="328"/>
      <c r="PDZ13" s="328"/>
      <c r="PEB13" s="328"/>
      <c r="PED13" s="328"/>
      <c r="PEF13" s="328"/>
      <c r="PEH13" s="328"/>
      <c r="PEJ13" s="328"/>
      <c r="PEL13" s="328"/>
      <c r="PEN13" s="328"/>
      <c r="PEP13" s="328"/>
      <c r="PER13" s="328"/>
      <c r="PET13" s="328"/>
      <c r="PEV13" s="328"/>
      <c r="PEX13" s="328"/>
      <c r="PEZ13" s="328"/>
      <c r="PFB13" s="328"/>
      <c r="PFD13" s="328"/>
      <c r="PFF13" s="328"/>
      <c r="PFH13" s="328"/>
      <c r="PFJ13" s="328"/>
      <c r="PFL13" s="328"/>
      <c r="PFN13" s="328"/>
      <c r="PFP13" s="328"/>
      <c r="PFR13" s="328"/>
      <c r="PFT13" s="328"/>
      <c r="PFV13" s="328"/>
      <c r="PFX13" s="328"/>
      <c r="PFZ13" s="328"/>
      <c r="PGB13" s="328"/>
      <c r="PGD13" s="328"/>
      <c r="PGF13" s="328"/>
      <c r="PGH13" s="328"/>
      <c r="PGJ13" s="328"/>
      <c r="PGL13" s="328"/>
      <c r="PGN13" s="328"/>
      <c r="PGP13" s="328"/>
      <c r="PGR13" s="328"/>
      <c r="PGT13" s="328"/>
      <c r="PGV13" s="328"/>
      <c r="PGX13" s="328"/>
      <c r="PGZ13" s="328"/>
      <c r="PHB13" s="328"/>
      <c r="PHD13" s="328"/>
      <c r="PHF13" s="328"/>
      <c r="PHH13" s="328"/>
      <c r="PHJ13" s="328"/>
      <c r="PHL13" s="328"/>
      <c r="PHN13" s="328"/>
      <c r="PHP13" s="328"/>
      <c r="PHR13" s="328"/>
      <c r="PHT13" s="328"/>
      <c r="PHV13" s="328"/>
      <c r="PHX13" s="328"/>
      <c r="PHZ13" s="328"/>
      <c r="PIB13" s="328"/>
      <c r="PID13" s="328"/>
      <c r="PIF13" s="328"/>
      <c r="PIH13" s="328"/>
      <c r="PIJ13" s="328"/>
      <c r="PIL13" s="328"/>
      <c r="PIN13" s="328"/>
      <c r="PIP13" s="328"/>
      <c r="PIR13" s="328"/>
      <c r="PIT13" s="328"/>
      <c r="PIV13" s="328"/>
      <c r="PIX13" s="328"/>
      <c r="PIZ13" s="328"/>
      <c r="PJB13" s="328"/>
      <c r="PJD13" s="328"/>
      <c r="PJF13" s="328"/>
      <c r="PJH13" s="328"/>
      <c r="PJJ13" s="328"/>
      <c r="PJL13" s="328"/>
      <c r="PJN13" s="328"/>
      <c r="PJP13" s="328"/>
      <c r="PJR13" s="328"/>
      <c r="PJT13" s="328"/>
      <c r="PJV13" s="328"/>
      <c r="PJX13" s="328"/>
      <c r="PJZ13" s="328"/>
      <c r="PKB13" s="328"/>
      <c r="PKD13" s="328"/>
      <c r="PKF13" s="328"/>
      <c r="PKH13" s="328"/>
      <c r="PKJ13" s="328"/>
      <c r="PKL13" s="328"/>
      <c r="PKN13" s="328"/>
      <c r="PKP13" s="328"/>
      <c r="PKR13" s="328"/>
      <c r="PKT13" s="328"/>
      <c r="PKV13" s="328"/>
      <c r="PKX13" s="328"/>
      <c r="PKZ13" s="328"/>
      <c r="PLB13" s="328"/>
      <c r="PLD13" s="328"/>
      <c r="PLF13" s="328"/>
      <c r="PLH13" s="328"/>
      <c r="PLJ13" s="328"/>
      <c r="PLL13" s="328"/>
      <c r="PLN13" s="328"/>
      <c r="PLP13" s="328"/>
      <c r="PLR13" s="328"/>
      <c r="PLT13" s="328"/>
      <c r="PLV13" s="328"/>
      <c r="PLX13" s="328"/>
      <c r="PLZ13" s="328"/>
      <c r="PMB13" s="328"/>
      <c r="PMD13" s="328"/>
      <c r="PMF13" s="328"/>
      <c r="PMH13" s="328"/>
      <c r="PMJ13" s="328"/>
      <c r="PML13" s="328"/>
      <c r="PMN13" s="328"/>
      <c r="PMP13" s="328"/>
      <c r="PMR13" s="328"/>
      <c r="PMT13" s="328"/>
      <c r="PMV13" s="328"/>
      <c r="PMX13" s="328"/>
      <c r="PMZ13" s="328"/>
      <c r="PNB13" s="328"/>
      <c r="PND13" s="328"/>
      <c r="PNF13" s="328"/>
      <c r="PNH13" s="328"/>
      <c r="PNJ13" s="328"/>
      <c r="PNL13" s="328"/>
      <c r="PNN13" s="328"/>
      <c r="PNP13" s="328"/>
      <c r="PNR13" s="328"/>
      <c r="PNT13" s="328"/>
      <c r="PNV13" s="328"/>
      <c r="PNX13" s="328"/>
      <c r="PNZ13" s="328"/>
      <c r="POB13" s="328"/>
      <c r="POD13" s="328"/>
      <c r="POF13" s="328"/>
      <c r="POH13" s="328"/>
      <c r="POJ13" s="328"/>
      <c r="POL13" s="328"/>
      <c r="PON13" s="328"/>
      <c r="POP13" s="328"/>
      <c r="POR13" s="328"/>
      <c r="POT13" s="328"/>
      <c r="POV13" s="328"/>
      <c r="POX13" s="328"/>
      <c r="POZ13" s="328"/>
      <c r="PPB13" s="328"/>
      <c r="PPD13" s="328"/>
      <c r="PPF13" s="328"/>
      <c r="PPH13" s="328"/>
      <c r="PPJ13" s="328"/>
      <c r="PPL13" s="328"/>
      <c r="PPN13" s="328"/>
      <c r="PPP13" s="328"/>
      <c r="PPR13" s="328"/>
      <c r="PPT13" s="328"/>
      <c r="PPV13" s="328"/>
      <c r="PPX13" s="328"/>
      <c r="PPZ13" s="328"/>
      <c r="PQB13" s="328"/>
      <c r="PQD13" s="328"/>
      <c r="PQF13" s="328"/>
      <c r="PQH13" s="328"/>
      <c r="PQJ13" s="328"/>
      <c r="PQL13" s="328"/>
      <c r="PQN13" s="328"/>
      <c r="PQP13" s="328"/>
      <c r="PQR13" s="328"/>
      <c r="PQT13" s="328"/>
      <c r="PQV13" s="328"/>
      <c r="PQX13" s="328"/>
      <c r="PQZ13" s="328"/>
      <c r="PRB13" s="328"/>
      <c r="PRD13" s="328"/>
      <c r="PRF13" s="328"/>
      <c r="PRH13" s="328"/>
      <c r="PRJ13" s="328"/>
      <c r="PRL13" s="328"/>
      <c r="PRN13" s="328"/>
      <c r="PRP13" s="328"/>
      <c r="PRR13" s="328"/>
      <c r="PRT13" s="328"/>
      <c r="PRV13" s="328"/>
      <c r="PRX13" s="328"/>
      <c r="PRZ13" s="328"/>
      <c r="PSB13" s="328"/>
      <c r="PSD13" s="328"/>
      <c r="PSF13" s="328"/>
      <c r="PSH13" s="328"/>
      <c r="PSJ13" s="328"/>
      <c r="PSL13" s="328"/>
      <c r="PSN13" s="328"/>
      <c r="PSP13" s="328"/>
      <c r="PSR13" s="328"/>
      <c r="PST13" s="328"/>
      <c r="PSV13" s="328"/>
      <c r="PSX13" s="328"/>
      <c r="PSZ13" s="328"/>
      <c r="PTB13" s="328"/>
      <c r="PTD13" s="328"/>
      <c r="PTF13" s="328"/>
      <c r="PTH13" s="328"/>
      <c r="PTJ13" s="328"/>
      <c r="PTL13" s="328"/>
      <c r="PTN13" s="328"/>
      <c r="PTP13" s="328"/>
      <c r="PTR13" s="328"/>
      <c r="PTT13" s="328"/>
      <c r="PTV13" s="328"/>
      <c r="PTX13" s="328"/>
      <c r="PTZ13" s="328"/>
      <c r="PUB13" s="328"/>
      <c r="PUD13" s="328"/>
      <c r="PUF13" s="328"/>
      <c r="PUH13" s="328"/>
      <c r="PUJ13" s="328"/>
      <c r="PUL13" s="328"/>
      <c r="PUN13" s="328"/>
      <c r="PUP13" s="328"/>
      <c r="PUR13" s="328"/>
      <c r="PUT13" s="328"/>
      <c r="PUV13" s="328"/>
      <c r="PUX13" s="328"/>
      <c r="PUZ13" s="328"/>
      <c r="PVB13" s="328"/>
      <c r="PVD13" s="328"/>
      <c r="PVF13" s="328"/>
      <c r="PVH13" s="328"/>
      <c r="PVJ13" s="328"/>
      <c r="PVL13" s="328"/>
      <c r="PVN13" s="328"/>
      <c r="PVP13" s="328"/>
      <c r="PVR13" s="328"/>
      <c r="PVT13" s="328"/>
      <c r="PVV13" s="328"/>
      <c r="PVX13" s="328"/>
      <c r="PVZ13" s="328"/>
      <c r="PWB13" s="328"/>
      <c r="PWD13" s="328"/>
      <c r="PWF13" s="328"/>
      <c r="PWH13" s="328"/>
      <c r="PWJ13" s="328"/>
      <c r="PWL13" s="328"/>
      <c r="PWN13" s="328"/>
      <c r="PWP13" s="328"/>
      <c r="PWR13" s="328"/>
      <c r="PWT13" s="328"/>
      <c r="PWV13" s="328"/>
      <c r="PWX13" s="328"/>
      <c r="PWZ13" s="328"/>
      <c r="PXB13" s="328"/>
      <c r="PXD13" s="328"/>
      <c r="PXF13" s="328"/>
      <c r="PXH13" s="328"/>
      <c r="PXJ13" s="328"/>
      <c r="PXL13" s="328"/>
      <c r="PXN13" s="328"/>
      <c r="PXP13" s="328"/>
      <c r="PXR13" s="328"/>
      <c r="PXT13" s="328"/>
      <c r="PXV13" s="328"/>
      <c r="PXX13" s="328"/>
      <c r="PXZ13" s="328"/>
      <c r="PYB13" s="328"/>
      <c r="PYD13" s="328"/>
      <c r="PYF13" s="328"/>
      <c r="PYH13" s="328"/>
      <c r="PYJ13" s="328"/>
      <c r="PYL13" s="328"/>
      <c r="PYN13" s="328"/>
      <c r="PYP13" s="328"/>
      <c r="PYR13" s="328"/>
      <c r="PYT13" s="328"/>
      <c r="PYV13" s="328"/>
      <c r="PYX13" s="328"/>
      <c r="PYZ13" s="328"/>
      <c r="PZB13" s="328"/>
      <c r="PZD13" s="328"/>
      <c r="PZF13" s="328"/>
      <c r="PZH13" s="328"/>
      <c r="PZJ13" s="328"/>
      <c r="PZL13" s="328"/>
      <c r="PZN13" s="328"/>
      <c r="PZP13" s="328"/>
      <c r="PZR13" s="328"/>
      <c r="PZT13" s="328"/>
      <c r="PZV13" s="328"/>
      <c r="PZX13" s="328"/>
      <c r="PZZ13" s="328"/>
      <c r="QAB13" s="328"/>
      <c r="QAD13" s="328"/>
      <c r="QAF13" s="328"/>
      <c r="QAH13" s="328"/>
      <c r="QAJ13" s="328"/>
      <c r="QAL13" s="328"/>
      <c r="QAN13" s="328"/>
      <c r="QAP13" s="328"/>
      <c r="QAR13" s="328"/>
      <c r="QAT13" s="328"/>
      <c r="QAV13" s="328"/>
      <c r="QAX13" s="328"/>
      <c r="QAZ13" s="328"/>
      <c r="QBB13" s="328"/>
      <c r="QBD13" s="328"/>
      <c r="QBF13" s="328"/>
      <c r="QBH13" s="328"/>
      <c r="QBJ13" s="328"/>
      <c r="QBL13" s="328"/>
      <c r="QBN13" s="328"/>
      <c r="QBP13" s="328"/>
      <c r="QBR13" s="328"/>
      <c r="QBT13" s="328"/>
      <c r="QBV13" s="328"/>
      <c r="QBX13" s="328"/>
      <c r="QBZ13" s="328"/>
      <c r="QCB13" s="328"/>
      <c r="QCD13" s="328"/>
      <c r="QCF13" s="328"/>
      <c r="QCH13" s="328"/>
      <c r="QCJ13" s="328"/>
      <c r="QCL13" s="328"/>
      <c r="QCN13" s="328"/>
      <c r="QCP13" s="328"/>
      <c r="QCR13" s="328"/>
      <c r="QCT13" s="328"/>
      <c r="QCV13" s="328"/>
      <c r="QCX13" s="328"/>
      <c r="QCZ13" s="328"/>
      <c r="QDB13" s="328"/>
      <c r="QDD13" s="328"/>
      <c r="QDF13" s="328"/>
      <c r="QDH13" s="328"/>
      <c r="QDJ13" s="328"/>
      <c r="QDL13" s="328"/>
      <c r="QDN13" s="328"/>
      <c r="QDP13" s="328"/>
      <c r="QDR13" s="328"/>
      <c r="QDT13" s="328"/>
      <c r="QDV13" s="328"/>
      <c r="QDX13" s="328"/>
      <c r="QDZ13" s="328"/>
      <c r="QEB13" s="328"/>
      <c r="QED13" s="328"/>
      <c r="QEF13" s="328"/>
      <c r="QEH13" s="328"/>
      <c r="QEJ13" s="328"/>
      <c r="QEL13" s="328"/>
      <c r="QEN13" s="328"/>
      <c r="QEP13" s="328"/>
      <c r="QER13" s="328"/>
      <c r="QET13" s="328"/>
      <c r="QEV13" s="328"/>
      <c r="QEX13" s="328"/>
      <c r="QEZ13" s="328"/>
      <c r="QFB13" s="328"/>
      <c r="QFD13" s="328"/>
      <c r="QFF13" s="328"/>
      <c r="QFH13" s="328"/>
      <c r="QFJ13" s="328"/>
      <c r="QFL13" s="328"/>
      <c r="QFN13" s="328"/>
      <c r="QFP13" s="328"/>
      <c r="QFR13" s="328"/>
      <c r="QFT13" s="328"/>
      <c r="QFV13" s="328"/>
      <c r="QFX13" s="328"/>
      <c r="QFZ13" s="328"/>
      <c r="QGB13" s="328"/>
      <c r="QGD13" s="328"/>
      <c r="QGF13" s="328"/>
      <c r="QGH13" s="328"/>
      <c r="QGJ13" s="328"/>
      <c r="QGL13" s="328"/>
      <c r="QGN13" s="328"/>
      <c r="QGP13" s="328"/>
      <c r="QGR13" s="328"/>
      <c r="QGT13" s="328"/>
      <c r="QGV13" s="328"/>
      <c r="QGX13" s="328"/>
      <c r="QGZ13" s="328"/>
      <c r="QHB13" s="328"/>
      <c r="QHD13" s="328"/>
      <c r="QHF13" s="328"/>
      <c r="QHH13" s="328"/>
      <c r="QHJ13" s="328"/>
      <c r="QHL13" s="328"/>
      <c r="QHN13" s="328"/>
      <c r="QHP13" s="328"/>
      <c r="QHR13" s="328"/>
      <c r="QHT13" s="328"/>
      <c r="QHV13" s="328"/>
      <c r="QHX13" s="328"/>
      <c r="QHZ13" s="328"/>
      <c r="QIB13" s="328"/>
      <c r="QID13" s="328"/>
      <c r="QIF13" s="328"/>
      <c r="QIH13" s="328"/>
      <c r="QIJ13" s="328"/>
      <c r="QIL13" s="328"/>
      <c r="QIN13" s="328"/>
      <c r="QIP13" s="328"/>
      <c r="QIR13" s="328"/>
      <c r="QIT13" s="328"/>
      <c r="QIV13" s="328"/>
      <c r="QIX13" s="328"/>
      <c r="QIZ13" s="328"/>
      <c r="QJB13" s="328"/>
      <c r="QJD13" s="328"/>
      <c r="QJF13" s="328"/>
      <c r="QJH13" s="328"/>
      <c r="QJJ13" s="328"/>
      <c r="QJL13" s="328"/>
      <c r="QJN13" s="328"/>
      <c r="QJP13" s="328"/>
      <c r="QJR13" s="328"/>
      <c r="QJT13" s="328"/>
      <c r="QJV13" s="328"/>
      <c r="QJX13" s="328"/>
      <c r="QJZ13" s="328"/>
      <c r="QKB13" s="328"/>
      <c r="QKD13" s="328"/>
      <c r="QKF13" s="328"/>
      <c r="QKH13" s="328"/>
      <c r="QKJ13" s="328"/>
      <c r="QKL13" s="328"/>
      <c r="QKN13" s="328"/>
      <c r="QKP13" s="328"/>
      <c r="QKR13" s="328"/>
      <c r="QKT13" s="328"/>
      <c r="QKV13" s="328"/>
      <c r="QKX13" s="328"/>
      <c r="QKZ13" s="328"/>
      <c r="QLB13" s="328"/>
      <c r="QLD13" s="328"/>
      <c r="QLF13" s="328"/>
      <c r="QLH13" s="328"/>
      <c r="QLJ13" s="328"/>
      <c r="QLL13" s="328"/>
      <c r="QLN13" s="328"/>
      <c r="QLP13" s="328"/>
      <c r="QLR13" s="328"/>
      <c r="QLT13" s="328"/>
      <c r="QLV13" s="328"/>
      <c r="QLX13" s="328"/>
      <c r="QLZ13" s="328"/>
      <c r="QMB13" s="328"/>
      <c r="QMD13" s="328"/>
      <c r="QMF13" s="328"/>
      <c r="QMH13" s="328"/>
      <c r="QMJ13" s="328"/>
      <c r="QML13" s="328"/>
      <c r="QMN13" s="328"/>
      <c r="QMP13" s="328"/>
      <c r="QMR13" s="328"/>
      <c r="QMT13" s="328"/>
      <c r="QMV13" s="328"/>
      <c r="QMX13" s="328"/>
      <c r="QMZ13" s="328"/>
      <c r="QNB13" s="328"/>
      <c r="QND13" s="328"/>
      <c r="QNF13" s="328"/>
      <c r="QNH13" s="328"/>
      <c r="QNJ13" s="328"/>
      <c r="QNL13" s="328"/>
      <c r="QNN13" s="328"/>
      <c r="QNP13" s="328"/>
      <c r="QNR13" s="328"/>
      <c r="QNT13" s="328"/>
      <c r="QNV13" s="328"/>
      <c r="QNX13" s="328"/>
      <c r="QNZ13" s="328"/>
      <c r="QOB13" s="328"/>
      <c r="QOD13" s="328"/>
      <c r="QOF13" s="328"/>
      <c r="QOH13" s="328"/>
      <c r="QOJ13" s="328"/>
      <c r="QOL13" s="328"/>
      <c r="QON13" s="328"/>
      <c r="QOP13" s="328"/>
      <c r="QOR13" s="328"/>
      <c r="QOT13" s="328"/>
      <c r="QOV13" s="328"/>
      <c r="QOX13" s="328"/>
      <c r="QOZ13" s="328"/>
      <c r="QPB13" s="328"/>
      <c r="QPD13" s="328"/>
      <c r="QPF13" s="328"/>
      <c r="QPH13" s="328"/>
      <c r="QPJ13" s="328"/>
      <c r="QPL13" s="328"/>
      <c r="QPN13" s="328"/>
      <c r="QPP13" s="328"/>
      <c r="QPR13" s="328"/>
      <c r="QPT13" s="328"/>
      <c r="QPV13" s="328"/>
      <c r="QPX13" s="328"/>
      <c r="QPZ13" s="328"/>
      <c r="QQB13" s="328"/>
      <c r="QQD13" s="328"/>
      <c r="QQF13" s="328"/>
      <c r="QQH13" s="328"/>
      <c r="QQJ13" s="328"/>
      <c r="QQL13" s="328"/>
      <c r="QQN13" s="328"/>
      <c r="QQP13" s="328"/>
      <c r="QQR13" s="328"/>
      <c r="QQT13" s="328"/>
      <c r="QQV13" s="328"/>
      <c r="QQX13" s="328"/>
      <c r="QQZ13" s="328"/>
      <c r="QRB13" s="328"/>
      <c r="QRD13" s="328"/>
      <c r="QRF13" s="328"/>
      <c r="QRH13" s="328"/>
      <c r="QRJ13" s="328"/>
      <c r="QRL13" s="328"/>
      <c r="QRN13" s="328"/>
      <c r="QRP13" s="328"/>
      <c r="QRR13" s="328"/>
      <c r="QRT13" s="328"/>
      <c r="QRV13" s="328"/>
      <c r="QRX13" s="328"/>
      <c r="QRZ13" s="328"/>
      <c r="QSB13" s="328"/>
      <c r="QSD13" s="328"/>
      <c r="QSF13" s="328"/>
      <c r="QSH13" s="328"/>
      <c r="QSJ13" s="328"/>
      <c r="QSL13" s="328"/>
      <c r="QSN13" s="328"/>
      <c r="QSP13" s="328"/>
      <c r="QSR13" s="328"/>
      <c r="QST13" s="328"/>
      <c r="QSV13" s="328"/>
      <c r="QSX13" s="328"/>
      <c r="QSZ13" s="328"/>
      <c r="QTB13" s="328"/>
      <c r="QTD13" s="328"/>
      <c r="QTF13" s="328"/>
      <c r="QTH13" s="328"/>
      <c r="QTJ13" s="328"/>
      <c r="QTL13" s="328"/>
      <c r="QTN13" s="328"/>
      <c r="QTP13" s="328"/>
      <c r="QTR13" s="328"/>
      <c r="QTT13" s="328"/>
      <c r="QTV13" s="328"/>
      <c r="QTX13" s="328"/>
      <c r="QTZ13" s="328"/>
      <c r="QUB13" s="328"/>
      <c r="QUD13" s="328"/>
      <c r="QUF13" s="328"/>
      <c r="QUH13" s="328"/>
      <c r="QUJ13" s="328"/>
      <c r="QUL13" s="328"/>
      <c r="QUN13" s="328"/>
      <c r="QUP13" s="328"/>
      <c r="QUR13" s="328"/>
      <c r="QUT13" s="328"/>
      <c r="QUV13" s="328"/>
      <c r="QUX13" s="328"/>
      <c r="QUZ13" s="328"/>
      <c r="QVB13" s="328"/>
      <c r="QVD13" s="328"/>
      <c r="QVF13" s="328"/>
      <c r="QVH13" s="328"/>
      <c r="QVJ13" s="328"/>
      <c r="QVL13" s="328"/>
      <c r="QVN13" s="328"/>
      <c r="QVP13" s="328"/>
      <c r="QVR13" s="328"/>
      <c r="QVT13" s="328"/>
      <c r="QVV13" s="328"/>
      <c r="QVX13" s="328"/>
      <c r="QVZ13" s="328"/>
      <c r="QWB13" s="328"/>
      <c r="QWD13" s="328"/>
      <c r="QWF13" s="328"/>
      <c r="QWH13" s="328"/>
      <c r="QWJ13" s="328"/>
      <c r="QWL13" s="328"/>
      <c r="QWN13" s="328"/>
      <c r="QWP13" s="328"/>
      <c r="QWR13" s="328"/>
      <c r="QWT13" s="328"/>
      <c r="QWV13" s="328"/>
      <c r="QWX13" s="328"/>
      <c r="QWZ13" s="328"/>
      <c r="QXB13" s="328"/>
      <c r="QXD13" s="328"/>
      <c r="QXF13" s="328"/>
      <c r="QXH13" s="328"/>
      <c r="QXJ13" s="328"/>
      <c r="QXL13" s="328"/>
      <c r="QXN13" s="328"/>
      <c r="QXP13" s="328"/>
      <c r="QXR13" s="328"/>
      <c r="QXT13" s="328"/>
      <c r="QXV13" s="328"/>
      <c r="QXX13" s="328"/>
      <c r="QXZ13" s="328"/>
      <c r="QYB13" s="328"/>
      <c r="QYD13" s="328"/>
      <c r="QYF13" s="328"/>
      <c r="QYH13" s="328"/>
      <c r="QYJ13" s="328"/>
      <c r="QYL13" s="328"/>
      <c r="QYN13" s="328"/>
      <c r="QYP13" s="328"/>
      <c r="QYR13" s="328"/>
      <c r="QYT13" s="328"/>
      <c r="QYV13" s="328"/>
      <c r="QYX13" s="328"/>
      <c r="QYZ13" s="328"/>
      <c r="QZB13" s="328"/>
      <c r="QZD13" s="328"/>
      <c r="QZF13" s="328"/>
      <c r="QZH13" s="328"/>
      <c r="QZJ13" s="328"/>
      <c r="QZL13" s="328"/>
      <c r="QZN13" s="328"/>
      <c r="QZP13" s="328"/>
      <c r="QZR13" s="328"/>
      <c r="QZT13" s="328"/>
      <c r="QZV13" s="328"/>
      <c r="QZX13" s="328"/>
      <c r="QZZ13" s="328"/>
      <c r="RAB13" s="328"/>
      <c r="RAD13" s="328"/>
      <c r="RAF13" s="328"/>
      <c r="RAH13" s="328"/>
      <c r="RAJ13" s="328"/>
      <c r="RAL13" s="328"/>
      <c r="RAN13" s="328"/>
      <c r="RAP13" s="328"/>
      <c r="RAR13" s="328"/>
      <c r="RAT13" s="328"/>
      <c r="RAV13" s="328"/>
      <c r="RAX13" s="328"/>
      <c r="RAZ13" s="328"/>
      <c r="RBB13" s="328"/>
      <c r="RBD13" s="328"/>
      <c r="RBF13" s="328"/>
      <c r="RBH13" s="328"/>
      <c r="RBJ13" s="328"/>
      <c r="RBL13" s="328"/>
      <c r="RBN13" s="328"/>
      <c r="RBP13" s="328"/>
      <c r="RBR13" s="328"/>
      <c r="RBT13" s="328"/>
      <c r="RBV13" s="328"/>
      <c r="RBX13" s="328"/>
      <c r="RBZ13" s="328"/>
      <c r="RCB13" s="328"/>
      <c r="RCD13" s="328"/>
      <c r="RCF13" s="328"/>
      <c r="RCH13" s="328"/>
      <c r="RCJ13" s="328"/>
      <c r="RCL13" s="328"/>
      <c r="RCN13" s="328"/>
      <c r="RCP13" s="328"/>
      <c r="RCR13" s="328"/>
      <c r="RCT13" s="328"/>
      <c r="RCV13" s="328"/>
      <c r="RCX13" s="328"/>
      <c r="RCZ13" s="328"/>
      <c r="RDB13" s="328"/>
      <c r="RDD13" s="328"/>
      <c r="RDF13" s="328"/>
      <c r="RDH13" s="328"/>
      <c r="RDJ13" s="328"/>
      <c r="RDL13" s="328"/>
      <c r="RDN13" s="328"/>
      <c r="RDP13" s="328"/>
      <c r="RDR13" s="328"/>
      <c r="RDT13" s="328"/>
      <c r="RDV13" s="328"/>
      <c r="RDX13" s="328"/>
      <c r="RDZ13" s="328"/>
      <c r="REB13" s="328"/>
      <c r="RED13" s="328"/>
      <c r="REF13" s="328"/>
      <c r="REH13" s="328"/>
      <c r="REJ13" s="328"/>
      <c r="REL13" s="328"/>
      <c r="REN13" s="328"/>
      <c r="REP13" s="328"/>
      <c r="RER13" s="328"/>
      <c r="RET13" s="328"/>
      <c r="REV13" s="328"/>
      <c r="REX13" s="328"/>
      <c r="REZ13" s="328"/>
      <c r="RFB13" s="328"/>
      <c r="RFD13" s="328"/>
      <c r="RFF13" s="328"/>
      <c r="RFH13" s="328"/>
      <c r="RFJ13" s="328"/>
      <c r="RFL13" s="328"/>
      <c r="RFN13" s="328"/>
      <c r="RFP13" s="328"/>
      <c r="RFR13" s="328"/>
      <c r="RFT13" s="328"/>
      <c r="RFV13" s="328"/>
      <c r="RFX13" s="328"/>
      <c r="RFZ13" s="328"/>
      <c r="RGB13" s="328"/>
      <c r="RGD13" s="328"/>
      <c r="RGF13" s="328"/>
      <c r="RGH13" s="328"/>
      <c r="RGJ13" s="328"/>
      <c r="RGL13" s="328"/>
      <c r="RGN13" s="328"/>
      <c r="RGP13" s="328"/>
      <c r="RGR13" s="328"/>
      <c r="RGT13" s="328"/>
      <c r="RGV13" s="328"/>
      <c r="RGX13" s="328"/>
      <c r="RGZ13" s="328"/>
      <c r="RHB13" s="328"/>
      <c r="RHD13" s="328"/>
      <c r="RHF13" s="328"/>
      <c r="RHH13" s="328"/>
      <c r="RHJ13" s="328"/>
      <c r="RHL13" s="328"/>
      <c r="RHN13" s="328"/>
      <c r="RHP13" s="328"/>
      <c r="RHR13" s="328"/>
      <c r="RHT13" s="328"/>
      <c r="RHV13" s="328"/>
      <c r="RHX13" s="328"/>
      <c r="RHZ13" s="328"/>
      <c r="RIB13" s="328"/>
      <c r="RID13" s="328"/>
      <c r="RIF13" s="328"/>
      <c r="RIH13" s="328"/>
      <c r="RIJ13" s="328"/>
      <c r="RIL13" s="328"/>
      <c r="RIN13" s="328"/>
      <c r="RIP13" s="328"/>
      <c r="RIR13" s="328"/>
      <c r="RIT13" s="328"/>
      <c r="RIV13" s="328"/>
      <c r="RIX13" s="328"/>
      <c r="RIZ13" s="328"/>
      <c r="RJB13" s="328"/>
      <c r="RJD13" s="328"/>
      <c r="RJF13" s="328"/>
      <c r="RJH13" s="328"/>
      <c r="RJJ13" s="328"/>
      <c r="RJL13" s="328"/>
      <c r="RJN13" s="328"/>
      <c r="RJP13" s="328"/>
      <c r="RJR13" s="328"/>
      <c r="RJT13" s="328"/>
      <c r="RJV13" s="328"/>
      <c r="RJX13" s="328"/>
      <c r="RJZ13" s="328"/>
      <c r="RKB13" s="328"/>
      <c r="RKD13" s="328"/>
      <c r="RKF13" s="328"/>
      <c r="RKH13" s="328"/>
      <c r="RKJ13" s="328"/>
      <c r="RKL13" s="328"/>
      <c r="RKN13" s="328"/>
      <c r="RKP13" s="328"/>
      <c r="RKR13" s="328"/>
      <c r="RKT13" s="328"/>
      <c r="RKV13" s="328"/>
      <c r="RKX13" s="328"/>
      <c r="RKZ13" s="328"/>
      <c r="RLB13" s="328"/>
      <c r="RLD13" s="328"/>
      <c r="RLF13" s="328"/>
      <c r="RLH13" s="328"/>
      <c r="RLJ13" s="328"/>
      <c r="RLL13" s="328"/>
      <c r="RLN13" s="328"/>
      <c r="RLP13" s="328"/>
      <c r="RLR13" s="328"/>
      <c r="RLT13" s="328"/>
      <c r="RLV13" s="328"/>
      <c r="RLX13" s="328"/>
      <c r="RLZ13" s="328"/>
      <c r="RMB13" s="328"/>
      <c r="RMD13" s="328"/>
      <c r="RMF13" s="328"/>
      <c r="RMH13" s="328"/>
      <c r="RMJ13" s="328"/>
      <c r="RML13" s="328"/>
      <c r="RMN13" s="328"/>
      <c r="RMP13" s="328"/>
      <c r="RMR13" s="328"/>
      <c r="RMT13" s="328"/>
      <c r="RMV13" s="328"/>
      <c r="RMX13" s="328"/>
      <c r="RMZ13" s="328"/>
      <c r="RNB13" s="328"/>
      <c r="RND13" s="328"/>
      <c r="RNF13" s="328"/>
      <c r="RNH13" s="328"/>
      <c r="RNJ13" s="328"/>
      <c r="RNL13" s="328"/>
      <c r="RNN13" s="328"/>
      <c r="RNP13" s="328"/>
      <c r="RNR13" s="328"/>
      <c r="RNT13" s="328"/>
      <c r="RNV13" s="328"/>
      <c r="RNX13" s="328"/>
      <c r="RNZ13" s="328"/>
      <c r="ROB13" s="328"/>
      <c r="ROD13" s="328"/>
      <c r="ROF13" s="328"/>
      <c r="ROH13" s="328"/>
      <c r="ROJ13" s="328"/>
      <c r="ROL13" s="328"/>
      <c r="RON13" s="328"/>
      <c r="ROP13" s="328"/>
      <c r="ROR13" s="328"/>
      <c r="ROT13" s="328"/>
      <c r="ROV13" s="328"/>
      <c r="ROX13" s="328"/>
      <c r="ROZ13" s="328"/>
      <c r="RPB13" s="328"/>
      <c r="RPD13" s="328"/>
      <c r="RPF13" s="328"/>
      <c r="RPH13" s="328"/>
      <c r="RPJ13" s="328"/>
      <c r="RPL13" s="328"/>
      <c r="RPN13" s="328"/>
      <c r="RPP13" s="328"/>
      <c r="RPR13" s="328"/>
      <c r="RPT13" s="328"/>
      <c r="RPV13" s="328"/>
      <c r="RPX13" s="328"/>
      <c r="RPZ13" s="328"/>
      <c r="RQB13" s="328"/>
      <c r="RQD13" s="328"/>
      <c r="RQF13" s="328"/>
      <c r="RQH13" s="328"/>
      <c r="RQJ13" s="328"/>
      <c r="RQL13" s="328"/>
      <c r="RQN13" s="328"/>
      <c r="RQP13" s="328"/>
      <c r="RQR13" s="328"/>
      <c r="RQT13" s="328"/>
      <c r="RQV13" s="328"/>
      <c r="RQX13" s="328"/>
      <c r="RQZ13" s="328"/>
      <c r="RRB13" s="328"/>
      <c r="RRD13" s="328"/>
      <c r="RRF13" s="328"/>
      <c r="RRH13" s="328"/>
      <c r="RRJ13" s="328"/>
      <c r="RRL13" s="328"/>
      <c r="RRN13" s="328"/>
      <c r="RRP13" s="328"/>
      <c r="RRR13" s="328"/>
      <c r="RRT13" s="328"/>
      <c r="RRV13" s="328"/>
      <c r="RRX13" s="328"/>
      <c r="RRZ13" s="328"/>
      <c r="RSB13" s="328"/>
      <c r="RSD13" s="328"/>
      <c r="RSF13" s="328"/>
      <c r="RSH13" s="328"/>
      <c r="RSJ13" s="328"/>
      <c r="RSL13" s="328"/>
      <c r="RSN13" s="328"/>
      <c r="RSP13" s="328"/>
      <c r="RSR13" s="328"/>
      <c r="RST13" s="328"/>
      <c r="RSV13" s="328"/>
      <c r="RSX13" s="328"/>
      <c r="RSZ13" s="328"/>
      <c r="RTB13" s="328"/>
      <c r="RTD13" s="328"/>
      <c r="RTF13" s="328"/>
      <c r="RTH13" s="328"/>
      <c r="RTJ13" s="328"/>
      <c r="RTL13" s="328"/>
      <c r="RTN13" s="328"/>
      <c r="RTP13" s="328"/>
      <c r="RTR13" s="328"/>
      <c r="RTT13" s="328"/>
      <c r="RTV13" s="328"/>
      <c r="RTX13" s="328"/>
      <c r="RTZ13" s="328"/>
      <c r="RUB13" s="328"/>
      <c r="RUD13" s="328"/>
      <c r="RUF13" s="328"/>
      <c r="RUH13" s="328"/>
      <c r="RUJ13" s="328"/>
      <c r="RUL13" s="328"/>
      <c r="RUN13" s="328"/>
      <c r="RUP13" s="328"/>
      <c r="RUR13" s="328"/>
      <c r="RUT13" s="328"/>
      <c r="RUV13" s="328"/>
      <c r="RUX13" s="328"/>
      <c r="RUZ13" s="328"/>
      <c r="RVB13" s="328"/>
      <c r="RVD13" s="328"/>
      <c r="RVF13" s="328"/>
      <c r="RVH13" s="328"/>
      <c r="RVJ13" s="328"/>
      <c r="RVL13" s="328"/>
      <c r="RVN13" s="328"/>
      <c r="RVP13" s="328"/>
      <c r="RVR13" s="328"/>
      <c r="RVT13" s="328"/>
      <c r="RVV13" s="328"/>
      <c r="RVX13" s="328"/>
      <c r="RVZ13" s="328"/>
      <c r="RWB13" s="328"/>
      <c r="RWD13" s="328"/>
      <c r="RWF13" s="328"/>
      <c r="RWH13" s="328"/>
      <c r="RWJ13" s="328"/>
      <c r="RWL13" s="328"/>
      <c r="RWN13" s="328"/>
      <c r="RWP13" s="328"/>
      <c r="RWR13" s="328"/>
      <c r="RWT13" s="328"/>
      <c r="RWV13" s="328"/>
      <c r="RWX13" s="328"/>
      <c r="RWZ13" s="328"/>
      <c r="RXB13" s="328"/>
      <c r="RXD13" s="328"/>
      <c r="RXF13" s="328"/>
      <c r="RXH13" s="328"/>
      <c r="RXJ13" s="328"/>
      <c r="RXL13" s="328"/>
      <c r="RXN13" s="328"/>
      <c r="RXP13" s="328"/>
      <c r="RXR13" s="328"/>
      <c r="RXT13" s="328"/>
      <c r="RXV13" s="328"/>
      <c r="RXX13" s="328"/>
      <c r="RXZ13" s="328"/>
      <c r="RYB13" s="328"/>
      <c r="RYD13" s="328"/>
      <c r="RYF13" s="328"/>
      <c r="RYH13" s="328"/>
      <c r="RYJ13" s="328"/>
      <c r="RYL13" s="328"/>
      <c r="RYN13" s="328"/>
      <c r="RYP13" s="328"/>
      <c r="RYR13" s="328"/>
      <c r="RYT13" s="328"/>
      <c r="RYV13" s="328"/>
      <c r="RYX13" s="328"/>
      <c r="RYZ13" s="328"/>
      <c r="RZB13" s="328"/>
      <c r="RZD13" s="328"/>
      <c r="RZF13" s="328"/>
      <c r="RZH13" s="328"/>
      <c r="RZJ13" s="328"/>
      <c r="RZL13" s="328"/>
      <c r="RZN13" s="328"/>
      <c r="RZP13" s="328"/>
      <c r="RZR13" s="328"/>
      <c r="RZT13" s="328"/>
      <c r="RZV13" s="328"/>
      <c r="RZX13" s="328"/>
      <c r="RZZ13" s="328"/>
      <c r="SAB13" s="328"/>
      <c r="SAD13" s="328"/>
      <c r="SAF13" s="328"/>
      <c r="SAH13" s="328"/>
      <c r="SAJ13" s="328"/>
      <c r="SAL13" s="328"/>
      <c r="SAN13" s="328"/>
      <c r="SAP13" s="328"/>
      <c r="SAR13" s="328"/>
      <c r="SAT13" s="328"/>
      <c r="SAV13" s="328"/>
      <c r="SAX13" s="328"/>
      <c r="SAZ13" s="328"/>
      <c r="SBB13" s="328"/>
      <c r="SBD13" s="328"/>
      <c r="SBF13" s="328"/>
      <c r="SBH13" s="328"/>
      <c r="SBJ13" s="328"/>
      <c r="SBL13" s="328"/>
      <c r="SBN13" s="328"/>
      <c r="SBP13" s="328"/>
      <c r="SBR13" s="328"/>
      <c r="SBT13" s="328"/>
      <c r="SBV13" s="328"/>
      <c r="SBX13" s="328"/>
      <c r="SBZ13" s="328"/>
      <c r="SCB13" s="328"/>
      <c r="SCD13" s="328"/>
      <c r="SCF13" s="328"/>
      <c r="SCH13" s="328"/>
      <c r="SCJ13" s="328"/>
      <c r="SCL13" s="328"/>
      <c r="SCN13" s="328"/>
      <c r="SCP13" s="328"/>
      <c r="SCR13" s="328"/>
      <c r="SCT13" s="328"/>
      <c r="SCV13" s="328"/>
      <c r="SCX13" s="328"/>
      <c r="SCZ13" s="328"/>
      <c r="SDB13" s="328"/>
      <c r="SDD13" s="328"/>
      <c r="SDF13" s="328"/>
      <c r="SDH13" s="328"/>
      <c r="SDJ13" s="328"/>
      <c r="SDL13" s="328"/>
      <c r="SDN13" s="328"/>
      <c r="SDP13" s="328"/>
      <c r="SDR13" s="328"/>
      <c r="SDT13" s="328"/>
      <c r="SDV13" s="328"/>
      <c r="SDX13" s="328"/>
      <c r="SDZ13" s="328"/>
      <c r="SEB13" s="328"/>
      <c r="SED13" s="328"/>
      <c r="SEF13" s="328"/>
      <c r="SEH13" s="328"/>
      <c r="SEJ13" s="328"/>
      <c r="SEL13" s="328"/>
      <c r="SEN13" s="328"/>
      <c r="SEP13" s="328"/>
      <c r="SER13" s="328"/>
      <c r="SET13" s="328"/>
      <c r="SEV13" s="328"/>
      <c r="SEX13" s="328"/>
      <c r="SEZ13" s="328"/>
      <c r="SFB13" s="328"/>
      <c r="SFD13" s="328"/>
      <c r="SFF13" s="328"/>
      <c r="SFH13" s="328"/>
      <c r="SFJ13" s="328"/>
      <c r="SFL13" s="328"/>
      <c r="SFN13" s="328"/>
      <c r="SFP13" s="328"/>
      <c r="SFR13" s="328"/>
      <c r="SFT13" s="328"/>
      <c r="SFV13" s="328"/>
      <c r="SFX13" s="328"/>
      <c r="SFZ13" s="328"/>
      <c r="SGB13" s="328"/>
      <c r="SGD13" s="328"/>
      <c r="SGF13" s="328"/>
      <c r="SGH13" s="328"/>
      <c r="SGJ13" s="328"/>
      <c r="SGL13" s="328"/>
      <c r="SGN13" s="328"/>
      <c r="SGP13" s="328"/>
      <c r="SGR13" s="328"/>
      <c r="SGT13" s="328"/>
      <c r="SGV13" s="328"/>
      <c r="SGX13" s="328"/>
      <c r="SGZ13" s="328"/>
      <c r="SHB13" s="328"/>
      <c r="SHD13" s="328"/>
      <c r="SHF13" s="328"/>
      <c r="SHH13" s="328"/>
      <c r="SHJ13" s="328"/>
      <c r="SHL13" s="328"/>
      <c r="SHN13" s="328"/>
      <c r="SHP13" s="328"/>
      <c r="SHR13" s="328"/>
      <c r="SHT13" s="328"/>
      <c r="SHV13" s="328"/>
      <c r="SHX13" s="328"/>
      <c r="SHZ13" s="328"/>
      <c r="SIB13" s="328"/>
      <c r="SID13" s="328"/>
      <c r="SIF13" s="328"/>
      <c r="SIH13" s="328"/>
      <c r="SIJ13" s="328"/>
      <c r="SIL13" s="328"/>
      <c r="SIN13" s="328"/>
      <c r="SIP13" s="328"/>
      <c r="SIR13" s="328"/>
      <c r="SIT13" s="328"/>
      <c r="SIV13" s="328"/>
      <c r="SIX13" s="328"/>
      <c r="SIZ13" s="328"/>
      <c r="SJB13" s="328"/>
      <c r="SJD13" s="328"/>
      <c r="SJF13" s="328"/>
      <c r="SJH13" s="328"/>
      <c r="SJJ13" s="328"/>
      <c r="SJL13" s="328"/>
      <c r="SJN13" s="328"/>
      <c r="SJP13" s="328"/>
      <c r="SJR13" s="328"/>
      <c r="SJT13" s="328"/>
      <c r="SJV13" s="328"/>
      <c r="SJX13" s="328"/>
      <c r="SJZ13" s="328"/>
      <c r="SKB13" s="328"/>
      <c r="SKD13" s="328"/>
      <c r="SKF13" s="328"/>
      <c r="SKH13" s="328"/>
      <c r="SKJ13" s="328"/>
      <c r="SKL13" s="328"/>
      <c r="SKN13" s="328"/>
      <c r="SKP13" s="328"/>
      <c r="SKR13" s="328"/>
      <c r="SKT13" s="328"/>
      <c r="SKV13" s="328"/>
      <c r="SKX13" s="328"/>
      <c r="SKZ13" s="328"/>
      <c r="SLB13" s="328"/>
      <c r="SLD13" s="328"/>
      <c r="SLF13" s="328"/>
      <c r="SLH13" s="328"/>
      <c r="SLJ13" s="328"/>
      <c r="SLL13" s="328"/>
      <c r="SLN13" s="328"/>
      <c r="SLP13" s="328"/>
      <c r="SLR13" s="328"/>
      <c r="SLT13" s="328"/>
      <c r="SLV13" s="328"/>
      <c r="SLX13" s="328"/>
      <c r="SLZ13" s="328"/>
      <c r="SMB13" s="328"/>
      <c r="SMD13" s="328"/>
      <c r="SMF13" s="328"/>
      <c r="SMH13" s="328"/>
      <c r="SMJ13" s="328"/>
      <c r="SML13" s="328"/>
      <c r="SMN13" s="328"/>
      <c r="SMP13" s="328"/>
      <c r="SMR13" s="328"/>
      <c r="SMT13" s="328"/>
      <c r="SMV13" s="328"/>
      <c r="SMX13" s="328"/>
      <c r="SMZ13" s="328"/>
      <c r="SNB13" s="328"/>
      <c r="SND13" s="328"/>
      <c r="SNF13" s="328"/>
      <c r="SNH13" s="328"/>
      <c r="SNJ13" s="328"/>
      <c r="SNL13" s="328"/>
      <c r="SNN13" s="328"/>
      <c r="SNP13" s="328"/>
      <c r="SNR13" s="328"/>
      <c r="SNT13" s="328"/>
      <c r="SNV13" s="328"/>
      <c r="SNX13" s="328"/>
      <c r="SNZ13" s="328"/>
      <c r="SOB13" s="328"/>
      <c r="SOD13" s="328"/>
      <c r="SOF13" s="328"/>
      <c r="SOH13" s="328"/>
      <c r="SOJ13" s="328"/>
      <c r="SOL13" s="328"/>
      <c r="SON13" s="328"/>
      <c r="SOP13" s="328"/>
      <c r="SOR13" s="328"/>
      <c r="SOT13" s="328"/>
      <c r="SOV13" s="328"/>
      <c r="SOX13" s="328"/>
      <c r="SOZ13" s="328"/>
      <c r="SPB13" s="328"/>
      <c r="SPD13" s="328"/>
      <c r="SPF13" s="328"/>
      <c r="SPH13" s="328"/>
      <c r="SPJ13" s="328"/>
      <c r="SPL13" s="328"/>
      <c r="SPN13" s="328"/>
      <c r="SPP13" s="328"/>
      <c r="SPR13" s="328"/>
      <c r="SPT13" s="328"/>
      <c r="SPV13" s="328"/>
      <c r="SPX13" s="328"/>
      <c r="SPZ13" s="328"/>
      <c r="SQB13" s="328"/>
      <c r="SQD13" s="328"/>
      <c r="SQF13" s="328"/>
      <c r="SQH13" s="328"/>
      <c r="SQJ13" s="328"/>
      <c r="SQL13" s="328"/>
      <c r="SQN13" s="328"/>
      <c r="SQP13" s="328"/>
      <c r="SQR13" s="328"/>
      <c r="SQT13" s="328"/>
      <c r="SQV13" s="328"/>
      <c r="SQX13" s="328"/>
      <c r="SQZ13" s="328"/>
      <c r="SRB13" s="328"/>
      <c r="SRD13" s="328"/>
      <c r="SRF13" s="328"/>
      <c r="SRH13" s="328"/>
      <c r="SRJ13" s="328"/>
      <c r="SRL13" s="328"/>
      <c r="SRN13" s="328"/>
      <c r="SRP13" s="328"/>
      <c r="SRR13" s="328"/>
      <c r="SRT13" s="328"/>
      <c r="SRV13" s="328"/>
      <c r="SRX13" s="328"/>
      <c r="SRZ13" s="328"/>
      <c r="SSB13" s="328"/>
      <c r="SSD13" s="328"/>
      <c r="SSF13" s="328"/>
      <c r="SSH13" s="328"/>
      <c r="SSJ13" s="328"/>
      <c r="SSL13" s="328"/>
      <c r="SSN13" s="328"/>
      <c r="SSP13" s="328"/>
      <c r="SSR13" s="328"/>
      <c r="SST13" s="328"/>
      <c r="SSV13" s="328"/>
      <c r="SSX13" s="328"/>
      <c r="SSZ13" s="328"/>
      <c r="STB13" s="328"/>
      <c r="STD13" s="328"/>
      <c r="STF13" s="328"/>
      <c r="STH13" s="328"/>
      <c r="STJ13" s="328"/>
      <c r="STL13" s="328"/>
      <c r="STN13" s="328"/>
      <c r="STP13" s="328"/>
      <c r="STR13" s="328"/>
      <c r="STT13" s="328"/>
      <c r="STV13" s="328"/>
      <c r="STX13" s="328"/>
      <c r="STZ13" s="328"/>
      <c r="SUB13" s="328"/>
      <c r="SUD13" s="328"/>
      <c r="SUF13" s="328"/>
      <c r="SUH13" s="328"/>
      <c r="SUJ13" s="328"/>
      <c r="SUL13" s="328"/>
      <c r="SUN13" s="328"/>
      <c r="SUP13" s="328"/>
      <c r="SUR13" s="328"/>
      <c r="SUT13" s="328"/>
      <c r="SUV13" s="328"/>
      <c r="SUX13" s="328"/>
      <c r="SUZ13" s="328"/>
      <c r="SVB13" s="328"/>
      <c r="SVD13" s="328"/>
      <c r="SVF13" s="328"/>
      <c r="SVH13" s="328"/>
      <c r="SVJ13" s="328"/>
      <c r="SVL13" s="328"/>
      <c r="SVN13" s="328"/>
      <c r="SVP13" s="328"/>
      <c r="SVR13" s="328"/>
      <c r="SVT13" s="328"/>
      <c r="SVV13" s="328"/>
      <c r="SVX13" s="328"/>
      <c r="SVZ13" s="328"/>
      <c r="SWB13" s="328"/>
      <c r="SWD13" s="328"/>
      <c r="SWF13" s="328"/>
      <c r="SWH13" s="328"/>
      <c r="SWJ13" s="328"/>
      <c r="SWL13" s="328"/>
      <c r="SWN13" s="328"/>
      <c r="SWP13" s="328"/>
      <c r="SWR13" s="328"/>
      <c r="SWT13" s="328"/>
      <c r="SWV13" s="328"/>
      <c r="SWX13" s="328"/>
      <c r="SWZ13" s="328"/>
      <c r="SXB13" s="328"/>
      <c r="SXD13" s="328"/>
      <c r="SXF13" s="328"/>
      <c r="SXH13" s="328"/>
      <c r="SXJ13" s="328"/>
      <c r="SXL13" s="328"/>
      <c r="SXN13" s="328"/>
      <c r="SXP13" s="328"/>
      <c r="SXR13" s="328"/>
      <c r="SXT13" s="328"/>
      <c r="SXV13" s="328"/>
      <c r="SXX13" s="328"/>
      <c r="SXZ13" s="328"/>
      <c r="SYB13" s="328"/>
      <c r="SYD13" s="328"/>
      <c r="SYF13" s="328"/>
      <c r="SYH13" s="328"/>
      <c r="SYJ13" s="328"/>
      <c r="SYL13" s="328"/>
      <c r="SYN13" s="328"/>
      <c r="SYP13" s="328"/>
      <c r="SYR13" s="328"/>
      <c r="SYT13" s="328"/>
      <c r="SYV13" s="328"/>
      <c r="SYX13" s="328"/>
      <c r="SYZ13" s="328"/>
      <c r="SZB13" s="328"/>
      <c r="SZD13" s="328"/>
      <c r="SZF13" s="328"/>
      <c r="SZH13" s="328"/>
      <c r="SZJ13" s="328"/>
      <c r="SZL13" s="328"/>
      <c r="SZN13" s="328"/>
      <c r="SZP13" s="328"/>
      <c r="SZR13" s="328"/>
      <c r="SZT13" s="328"/>
      <c r="SZV13" s="328"/>
      <c r="SZX13" s="328"/>
      <c r="SZZ13" s="328"/>
      <c r="TAB13" s="328"/>
      <c r="TAD13" s="328"/>
      <c r="TAF13" s="328"/>
      <c r="TAH13" s="328"/>
      <c r="TAJ13" s="328"/>
      <c r="TAL13" s="328"/>
      <c r="TAN13" s="328"/>
      <c r="TAP13" s="328"/>
      <c r="TAR13" s="328"/>
      <c r="TAT13" s="328"/>
      <c r="TAV13" s="328"/>
      <c r="TAX13" s="328"/>
      <c r="TAZ13" s="328"/>
      <c r="TBB13" s="328"/>
      <c r="TBD13" s="328"/>
      <c r="TBF13" s="328"/>
      <c r="TBH13" s="328"/>
      <c r="TBJ13" s="328"/>
      <c r="TBL13" s="328"/>
      <c r="TBN13" s="328"/>
      <c r="TBP13" s="328"/>
      <c r="TBR13" s="328"/>
      <c r="TBT13" s="328"/>
      <c r="TBV13" s="328"/>
      <c r="TBX13" s="328"/>
      <c r="TBZ13" s="328"/>
      <c r="TCB13" s="328"/>
      <c r="TCD13" s="328"/>
      <c r="TCF13" s="328"/>
      <c r="TCH13" s="328"/>
      <c r="TCJ13" s="328"/>
      <c r="TCL13" s="328"/>
      <c r="TCN13" s="328"/>
      <c r="TCP13" s="328"/>
      <c r="TCR13" s="328"/>
      <c r="TCT13" s="328"/>
      <c r="TCV13" s="328"/>
      <c r="TCX13" s="328"/>
      <c r="TCZ13" s="328"/>
      <c r="TDB13" s="328"/>
      <c r="TDD13" s="328"/>
      <c r="TDF13" s="328"/>
      <c r="TDH13" s="328"/>
      <c r="TDJ13" s="328"/>
      <c r="TDL13" s="328"/>
      <c r="TDN13" s="328"/>
      <c r="TDP13" s="328"/>
      <c r="TDR13" s="328"/>
      <c r="TDT13" s="328"/>
      <c r="TDV13" s="328"/>
      <c r="TDX13" s="328"/>
      <c r="TDZ13" s="328"/>
      <c r="TEB13" s="328"/>
      <c r="TED13" s="328"/>
      <c r="TEF13" s="328"/>
      <c r="TEH13" s="328"/>
      <c r="TEJ13" s="328"/>
      <c r="TEL13" s="328"/>
      <c r="TEN13" s="328"/>
      <c r="TEP13" s="328"/>
      <c r="TER13" s="328"/>
      <c r="TET13" s="328"/>
      <c r="TEV13" s="328"/>
      <c r="TEX13" s="328"/>
      <c r="TEZ13" s="328"/>
      <c r="TFB13" s="328"/>
      <c r="TFD13" s="328"/>
      <c r="TFF13" s="328"/>
      <c r="TFH13" s="328"/>
      <c r="TFJ13" s="328"/>
      <c r="TFL13" s="328"/>
      <c r="TFN13" s="328"/>
      <c r="TFP13" s="328"/>
      <c r="TFR13" s="328"/>
      <c r="TFT13" s="328"/>
      <c r="TFV13" s="328"/>
      <c r="TFX13" s="328"/>
      <c r="TFZ13" s="328"/>
      <c r="TGB13" s="328"/>
      <c r="TGD13" s="328"/>
      <c r="TGF13" s="328"/>
      <c r="TGH13" s="328"/>
      <c r="TGJ13" s="328"/>
      <c r="TGL13" s="328"/>
      <c r="TGN13" s="328"/>
      <c r="TGP13" s="328"/>
      <c r="TGR13" s="328"/>
      <c r="TGT13" s="328"/>
      <c r="TGV13" s="328"/>
      <c r="TGX13" s="328"/>
      <c r="TGZ13" s="328"/>
      <c r="THB13" s="328"/>
      <c r="THD13" s="328"/>
      <c r="THF13" s="328"/>
      <c r="THH13" s="328"/>
      <c r="THJ13" s="328"/>
      <c r="THL13" s="328"/>
      <c r="THN13" s="328"/>
      <c r="THP13" s="328"/>
      <c r="THR13" s="328"/>
      <c r="THT13" s="328"/>
      <c r="THV13" s="328"/>
      <c r="THX13" s="328"/>
      <c r="THZ13" s="328"/>
      <c r="TIB13" s="328"/>
      <c r="TID13" s="328"/>
      <c r="TIF13" s="328"/>
      <c r="TIH13" s="328"/>
      <c r="TIJ13" s="328"/>
      <c r="TIL13" s="328"/>
      <c r="TIN13" s="328"/>
      <c r="TIP13" s="328"/>
      <c r="TIR13" s="328"/>
      <c r="TIT13" s="328"/>
      <c r="TIV13" s="328"/>
      <c r="TIX13" s="328"/>
      <c r="TIZ13" s="328"/>
      <c r="TJB13" s="328"/>
      <c r="TJD13" s="328"/>
      <c r="TJF13" s="328"/>
      <c r="TJH13" s="328"/>
      <c r="TJJ13" s="328"/>
      <c r="TJL13" s="328"/>
      <c r="TJN13" s="328"/>
      <c r="TJP13" s="328"/>
      <c r="TJR13" s="328"/>
      <c r="TJT13" s="328"/>
      <c r="TJV13" s="328"/>
      <c r="TJX13" s="328"/>
      <c r="TJZ13" s="328"/>
      <c r="TKB13" s="328"/>
      <c r="TKD13" s="328"/>
      <c r="TKF13" s="328"/>
      <c r="TKH13" s="328"/>
      <c r="TKJ13" s="328"/>
      <c r="TKL13" s="328"/>
      <c r="TKN13" s="328"/>
      <c r="TKP13" s="328"/>
      <c r="TKR13" s="328"/>
      <c r="TKT13" s="328"/>
      <c r="TKV13" s="328"/>
      <c r="TKX13" s="328"/>
      <c r="TKZ13" s="328"/>
      <c r="TLB13" s="328"/>
      <c r="TLD13" s="328"/>
      <c r="TLF13" s="328"/>
      <c r="TLH13" s="328"/>
      <c r="TLJ13" s="328"/>
      <c r="TLL13" s="328"/>
      <c r="TLN13" s="328"/>
      <c r="TLP13" s="328"/>
      <c r="TLR13" s="328"/>
      <c r="TLT13" s="328"/>
      <c r="TLV13" s="328"/>
      <c r="TLX13" s="328"/>
      <c r="TLZ13" s="328"/>
      <c r="TMB13" s="328"/>
      <c r="TMD13" s="328"/>
      <c r="TMF13" s="328"/>
      <c r="TMH13" s="328"/>
      <c r="TMJ13" s="328"/>
      <c r="TML13" s="328"/>
      <c r="TMN13" s="328"/>
      <c r="TMP13" s="328"/>
      <c r="TMR13" s="328"/>
      <c r="TMT13" s="328"/>
      <c r="TMV13" s="328"/>
      <c r="TMX13" s="328"/>
      <c r="TMZ13" s="328"/>
      <c r="TNB13" s="328"/>
      <c r="TND13" s="328"/>
      <c r="TNF13" s="328"/>
      <c r="TNH13" s="328"/>
      <c r="TNJ13" s="328"/>
      <c r="TNL13" s="328"/>
      <c r="TNN13" s="328"/>
      <c r="TNP13" s="328"/>
      <c r="TNR13" s="328"/>
      <c r="TNT13" s="328"/>
      <c r="TNV13" s="328"/>
      <c r="TNX13" s="328"/>
      <c r="TNZ13" s="328"/>
      <c r="TOB13" s="328"/>
      <c r="TOD13" s="328"/>
      <c r="TOF13" s="328"/>
      <c r="TOH13" s="328"/>
      <c r="TOJ13" s="328"/>
      <c r="TOL13" s="328"/>
      <c r="TON13" s="328"/>
      <c r="TOP13" s="328"/>
      <c r="TOR13" s="328"/>
      <c r="TOT13" s="328"/>
      <c r="TOV13" s="328"/>
      <c r="TOX13" s="328"/>
      <c r="TOZ13" s="328"/>
      <c r="TPB13" s="328"/>
      <c r="TPD13" s="328"/>
      <c r="TPF13" s="328"/>
      <c r="TPH13" s="328"/>
      <c r="TPJ13" s="328"/>
      <c r="TPL13" s="328"/>
      <c r="TPN13" s="328"/>
      <c r="TPP13" s="328"/>
      <c r="TPR13" s="328"/>
      <c r="TPT13" s="328"/>
      <c r="TPV13" s="328"/>
      <c r="TPX13" s="328"/>
      <c r="TPZ13" s="328"/>
      <c r="TQB13" s="328"/>
      <c r="TQD13" s="328"/>
      <c r="TQF13" s="328"/>
      <c r="TQH13" s="328"/>
      <c r="TQJ13" s="328"/>
      <c r="TQL13" s="328"/>
      <c r="TQN13" s="328"/>
      <c r="TQP13" s="328"/>
      <c r="TQR13" s="328"/>
      <c r="TQT13" s="328"/>
      <c r="TQV13" s="328"/>
      <c r="TQX13" s="328"/>
      <c r="TQZ13" s="328"/>
      <c r="TRB13" s="328"/>
      <c r="TRD13" s="328"/>
      <c r="TRF13" s="328"/>
      <c r="TRH13" s="328"/>
      <c r="TRJ13" s="328"/>
      <c r="TRL13" s="328"/>
      <c r="TRN13" s="328"/>
      <c r="TRP13" s="328"/>
      <c r="TRR13" s="328"/>
      <c r="TRT13" s="328"/>
      <c r="TRV13" s="328"/>
      <c r="TRX13" s="328"/>
      <c r="TRZ13" s="328"/>
      <c r="TSB13" s="328"/>
      <c r="TSD13" s="328"/>
      <c r="TSF13" s="328"/>
      <c r="TSH13" s="328"/>
      <c r="TSJ13" s="328"/>
      <c r="TSL13" s="328"/>
      <c r="TSN13" s="328"/>
      <c r="TSP13" s="328"/>
      <c r="TSR13" s="328"/>
      <c r="TST13" s="328"/>
      <c r="TSV13" s="328"/>
      <c r="TSX13" s="328"/>
      <c r="TSZ13" s="328"/>
      <c r="TTB13" s="328"/>
      <c r="TTD13" s="328"/>
      <c r="TTF13" s="328"/>
      <c r="TTH13" s="328"/>
      <c r="TTJ13" s="328"/>
      <c r="TTL13" s="328"/>
      <c r="TTN13" s="328"/>
      <c r="TTP13" s="328"/>
      <c r="TTR13" s="328"/>
      <c r="TTT13" s="328"/>
      <c r="TTV13" s="328"/>
      <c r="TTX13" s="328"/>
      <c r="TTZ13" s="328"/>
      <c r="TUB13" s="328"/>
      <c r="TUD13" s="328"/>
      <c r="TUF13" s="328"/>
      <c r="TUH13" s="328"/>
      <c r="TUJ13" s="328"/>
      <c r="TUL13" s="328"/>
      <c r="TUN13" s="328"/>
      <c r="TUP13" s="328"/>
      <c r="TUR13" s="328"/>
      <c r="TUT13" s="328"/>
      <c r="TUV13" s="328"/>
      <c r="TUX13" s="328"/>
      <c r="TUZ13" s="328"/>
      <c r="TVB13" s="328"/>
      <c r="TVD13" s="328"/>
      <c r="TVF13" s="328"/>
      <c r="TVH13" s="328"/>
      <c r="TVJ13" s="328"/>
      <c r="TVL13" s="328"/>
      <c r="TVN13" s="328"/>
      <c r="TVP13" s="328"/>
      <c r="TVR13" s="328"/>
      <c r="TVT13" s="328"/>
      <c r="TVV13" s="328"/>
      <c r="TVX13" s="328"/>
      <c r="TVZ13" s="328"/>
      <c r="TWB13" s="328"/>
      <c r="TWD13" s="328"/>
      <c r="TWF13" s="328"/>
      <c r="TWH13" s="328"/>
      <c r="TWJ13" s="328"/>
      <c r="TWL13" s="328"/>
      <c r="TWN13" s="328"/>
      <c r="TWP13" s="328"/>
      <c r="TWR13" s="328"/>
      <c r="TWT13" s="328"/>
      <c r="TWV13" s="328"/>
      <c r="TWX13" s="328"/>
      <c r="TWZ13" s="328"/>
      <c r="TXB13" s="328"/>
      <c r="TXD13" s="328"/>
      <c r="TXF13" s="328"/>
      <c r="TXH13" s="328"/>
      <c r="TXJ13" s="328"/>
      <c r="TXL13" s="328"/>
      <c r="TXN13" s="328"/>
      <c r="TXP13" s="328"/>
      <c r="TXR13" s="328"/>
      <c r="TXT13" s="328"/>
      <c r="TXV13" s="328"/>
      <c r="TXX13" s="328"/>
      <c r="TXZ13" s="328"/>
      <c r="TYB13" s="328"/>
      <c r="TYD13" s="328"/>
      <c r="TYF13" s="328"/>
      <c r="TYH13" s="328"/>
      <c r="TYJ13" s="328"/>
      <c r="TYL13" s="328"/>
      <c r="TYN13" s="328"/>
      <c r="TYP13" s="328"/>
      <c r="TYR13" s="328"/>
      <c r="TYT13" s="328"/>
      <c r="TYV13" s="328"/>
      <c r="TYX13" s="328"/>
      <c r="TYZ13" s="328"/>
      <c r="TZB13" s="328"/>
      <c r="TZD13" s="328"/>
      <c r="TZF13" s="328"/>
      <c r="TZH13" s="328"/>
      <c r="TZJ13" s="328"/>
      <c r="TZL13" s="328"/>
      <c r="TZN13" s="328"/>
      <c r="TZP13" s="328"/>
      <c r="TZR13" s="328"/>
      <c r="TZT13" s="328"/>
      <c r="TZV13" s="328"/>
      <c r="TZX13" s="328"/>
      <c r="TZZ13" s="328"/>
      <c r="UAB13" s="328"/>
      <c r="UAD13" s="328"/>
      <c r="UAF13" s="328"/>
      <c r="UAH13" s="328"/>
      <c r="UAJ13" s="328"/>
      <c r="UAL13" s="328"/>
      <c r="UAN13" s="328"/>
      <c r="UAP13" s="328"/>
      <c r="UAR13" s="328"/>
      <c r="UAT13" s="328"/>
      <c r="UAV13" s="328"/>
      <c r="UAX13" s="328"/>
      <c r="UAZ13" s="328"/>
      <c r="UBB13" s="328"/>
      <c r="UBD13" s="328"/>
      <c r="UBF13" s="328"/>
      <c r="UBH13" s="328"/>
      <c r="UBJ13" s="328"/>
      <c r="UBL13" s="328"/>
      <c r="UBN13" s="328"/>
      <c r="UBP13" s="328"/>
      <c r="UBR13" s="328"/>
      <c r="UBT13" s="328"/>
      <c r="UBV13" s="328"/>
      <c r="UBX13" s="328"/>
      <c r="UBZ13" s="328"/>
      <c r="UCB13" s="328"/>
      <c r="UCD13" s="328"/>
      <c r="UCF13" s="328"/>
      <c r="UCH13" s="328"/>
      <c r="UCJ13" s="328"/>
      <c r="UCL13" s="328"/>
      <c r="UCN13" s="328"/>
      <c r="UCP13" s="328"/>
      <c r="UCR13" s="328"/>
      <c r="UCT13" s="328"/>
      <c r="UCV13" s="328"/>
      <c r="UCX13" s="328"/>
      <c r="UCZ13" s="328"/>
      <c r="UDB13" s="328"/>
      <c r="UDD13" s="328"/>
      <c r="UDF13" s="328"/>
      <c r="UDH13" s="328"/>
      <c r="UDJ13" s="328"/>
      <c r="UDL13" s="328"/>
      <c r="UDN13" s="328"/>
      <c r="UDP13" s="328"/>
      <c r="UDR13" s="328"/>
      <c r="UDT13" s="328"/>
      <c r="UDV13" s="328"/>
      <c r="UDX13" s="328"/>
      <c r="UDZ13" s="328"/>
      <c r="UEB13" s="328"/>
      <c r="UED13" s="328"/>
      <c r="UEF13" s="328"/>
      <c r="UEH13" s="328"/>
      <c r="UEJ13" s="328"/>
      <c r="UEL13" s="328"/>
      <c r="UEN13" s="328"/>
      <c r="UEP13" s="328"/>
      <c r="UER13" s="328"/>
      <c r="UET13" s="328"/>
      <c r="UEV13" s="328"/>
      <c r="UEX13" s="328"/>
      <c r="UEZ13" s="328"/>
      <c r="UFB13" s="328"/>
      <c r="UFD13" s="328"/>
      <c r="UFF13" s="328"/>
      <c r="UFH13" s="328"/>
      <c r="UFJ13" s="328"/>
      <c r="UFL13" s="328"/>
      <c r="UFN13" s="328"/>
      <c r="UFP13" s="328"/>
      <c r="UFR13" s="328"/>
      <c r="UFT13" s="328"/>
      <c r="UFV13" s="328"/>
      <c r="UFX13" s="328"/>
      <c r="UFZ13" s="328"/>
      <c r="UGB13" s="328"/>
      <c r="UGD13" s="328"/>
      <c r="UGF13" s="328"/>
      <c r="UGH13" s="328"/>
      <c r="UGJ13" s="328"/>
      <c r="UGL13" s="328"/>
      <c r="UGN13" s="328"/>
      <c r="UGP13" s="328"/>
      <c r="UGR13" s="328"/>
      <c r="UGT13" s="328"/>
      <c r="UGV13" s="328"/>
      <c r="UGX13" s="328"/>
      <c r="UGZ13" s="328"/>
      <c r="UHB13" s="328"/>
      <c r="UHD13" s="328"/>
      <c r="UHF13" s="328"/>
      <c r="UHH13" s="328"/>
      <c r="UHJ13" s="328"/>
      <c r="UHL13" s="328"/>
      <c r="UHN13" s="328"/>
      <c r="UHP13" s="328"/>
      <c r="UHR13" s="328"/>
      <c r="UHT13" s="328"/>
      <c r="UHV13" s="328"/>
      <c r="UHX13" s="328"/>
      <c r="UHZ13" s="328"/>
      <c r="UIB13" s="328"/>
      <c r="UID13" s="328"/>
      <c r="UIF13" s="328"/>
      <c r="UIH13" s="328"/>
      <c r="UIJ13" s="328"/>
      <c r="UIL13" s="328"/>
      <c r="UIN13" s="328"/>
      <c r="UIP13" s="328"/>
      <c r="UIR13" s="328"/>
      <c r="UIT13" s="328"/>
      <c r="UIV13" s="328"/>
      <c r="UIX13" s="328"/>
      <c r="UIZ13" s="328"/>
      <c r="UJB13" s="328"/>
      <c r="UJD13" s="328"/>
      <c r="UJF13" s="328"/>
      <c r="UJH13" s="328"/>
      <c r="UJJ13" s="328"/>
      <c r="UJL13" s="328"/>
      <c r="UJN13" s="328"/>
      <c r="UJP13" s="328"/>
      <c r="UJR13" s="328"/>
      <c r="UJT13" s="328"/>
      <c r="UJV13" s="328"/>
      <c r="UJX13" s="328"/>
      <c r="UJZ13" s="328"/>
      <c r="UKB13" s="328"/>
      <c r="UKD13" s="328"/>
      <c r="UKF13" s="328"/>
      <c r="UKH13" s="328"/>
      <c r="UKJ13" s="328"/>
      <c r="UKL13" s="328"/>
      <c r="UKN13" s="328"/>
      <c r="UKP13" s="328"/>
      <c r="UKR13" s="328"/>
      <c r="UKT13" s="328"/>
      <c r="UKV13" s="328"/>
      <c r="UKX13" s="328"/>
      <c r="UKZ13" s="328"/>
      <c r="ULB13" s="328"/>
      <c r="ULD13" s="328"/>
      <c r="ULF13" s="328"/>
      <c r="ULH13" s="328"/>
      <c r="ULJ13" s="328"/>
      <c r="ULL13" s="328"/>
      <c r="ULN13" s="328"/>
      <c r="ULP13" s="328"/>
      <c r="ULR13" s="328"/>
      <c r="ULT13" s="328"/>
      <c r="ULV13" s="328"/>
      <c r="ULX13" s="328"/>
      <c r="ULZ13" s="328"/>
      <c r="UMB13" s="328"/>
      <c r="UMD13" s="328"/>
      <c r="UMF13" s="328"/>
      <c r="UMH13" s="328"/>
      <c r="UMJ13" s="328"/>
      <c r="UML13" s="328"/>
      <c r="UMN13" s="328"/>
      <c r="UMP13" s="328"/>
      <c r="UMR13" s="328"/>
      <c r="UMT13" s="328"/>
      <c r="UMV13" s="328"/>
      <c r="UMX13" s="328"/>
      <c r="UMZ13" s="328"/>
      <c r="UNB13" s="328"/>
      <c r="UND13" s="328"/>
      <c r="UNF13" s="328"/>
      <c r="UNH13" s="328"/>
      <c r="UNJ13" s="328"/>
      <c r="UNL13" s="328"/>
      <c r="UNN13" s="328"/>
      <c r="UNP13" s="328"/>
      <c r="UNR13" s="328"/>
      <c r="UNT13" s="328"/>
      <c r="UNV13" s="328"/>
      <c r="UNX13" s="328"/>
      <c r="UNZ13" s="328"/>
      <c r="UOB13" s="328"/>
      <c r="UOD13" s="328"/>
      <c r="UOF13" s="328"/>
      <c r="UOH13" s="328"/>
      <c r="UOJ13" s="328"/>
      <c r="UOL13" s="328"/>
      <c r="UON13" s="328"/>
      <c r="UOP13" s="328"/>
      <c r="UOR13" s="328"/>
      <c r="UOT13" s="328"/>
      <c r="UOV13" s="328"/>
      <c r="UOX13" s="328"/>
      <c r="UOZ13" s="328"/>
      <c r="UPB13" s="328"/>
      <c r="UPD13" s="328"/>
      <c r="UPF13" s="328"/>
      <c r="UPH13" s="328"/>
      <c r="UPJ13" s="328"/>
      <c r="UPL13" s="328"/>
      <c r="UPN13" s="328"/>
      <c r="UPP13" s="328"/>
      <c r="UPR13" s="328"/>
      <c r="UPT13" s="328"/>
      <c r="UPV13" s="328"/>
      <c r="UPX13" s="328"/>
      <c r="UPZ13" s="328"/>
      <c r="UQB13" s="328"/>
      <c r="UQD13" s="328"/>
      <c r="UQF13" s="328"/>
      <c r="UQH13" s="328"/>
      <c r="UQJ13" s="328"/>
      <c r="UQL13" s="328"/>
      <c r="UQN13" s="328"/>
      <c r="UQP13" s="328"/>
      <c r="UQR13" s="328"/>
      <c r="UQT13" s="328"/>
      <c r="UQV13" s="328"/>
      <c r="UQX13" s="328"/>
      <c r="UQZ13" s="328"/>
      <c r="URB13" s="328"/>
      <c r="URD13" s="328"/>
      <c r="URF13" s="328"/>
      <c r="URH13" s="328"/>
      <c r="URJ13" s="328"/>
      <c r="URL13" s="328"/>
      <c r="URN13" s="328"/>
      <c r="URP13" s="328"/>
      <c r="URR13" s="328"/>
      <c r="URT13" s="328"/>
      <c r="URV13" s="328"/>
      <c r="URX13" s="328"/>
      <c r="URZ13" s="328"/>
      <c r="USB13" s="328"/>
      <c r="USD13" s="328"/>
      <c r="USF13" s="328"/>
      <c r="USH13" s="328"/>
      <c r="USJ13" s="328"/>
      <c r="USL13" s="328"/>
      <c r="USN13" s="328"/>
      <c r="USP13" s="328"/>
      <c r="USR13" s="328"/>
      <c r="UST13" s="328"/>
      <c r="USV13" s="328"/>
      <c r="USX13" s="328"/>
      <c r="USZ13" s="328"/>
      <c r="UTB13" s="328"/>
      <c r="UTD13" s="328"/>
      <c r="UTF13" s="328"/>
      <c r="UTH13" s="328"/>
      <c r="UTJ13" s="328"/>
      <c r="UTL13" s="328"/>
      <c r="UTN13" s="328"/>
      <c r="UTP13" s="328"/>
      <c r="UTR13" s="328"/>
      <c r="UTT13" s="328"/>
      <c r="UTV13" s="328"/>
      <c r="UTX13" s="328"/>
      <c r="UTZ13" s="328"/>
      <c r="UUB13" s="328"/>
      <c r="UUD13" s="328"/>
      <c r="UUF13" s="328"/>
      <c r="UUH13" s="328"/>
      <c r="UUJ13" s="328"/>
      <c r="UUL13" s="328"/>
      <c r="UUN13" s="328"/>
      <c r="UUP13" s="328"/>
      <c r="UUR13" s="328"/>
      <c r="UUT13" s="328"/>
      <c r="UUV13" s="328"/>
      <c r="UUX13" s="328"/>
      <c r="UUZ13" s="328"/>
      <c r="UVB13" s="328"/>
      <c r="UVD13" s="328"/>
      <c r="UVF13" s="328"/>
      <c r="UVH13" s="328"/>
      <c r="UVJ13" s="328"/>
      <c r="UVL13" s="328"/>
      <c r="UVN13" s="328"/>
      <c r="UVP13" s="328"/>
      <c r="UVR13" s="328"/>
      <c r="UVT13" s="328"/>
      <c r="UVV13" s="328"/>
      <c r="UVX13" s="328"/>
      <c r="UVZ13" s="328"/>
      <c r="UWB13" s="328"/>
      <c r="UWD13" s="328"/>
      <c r="UWF13" s="328"/>
      <c r="UWH13" s="328"/>
      <c r="UWJ13" s="328"/>
      <c r="UWL13" s="328"/>
      <c r="UWN13" s="328"/>
      <c r="UWP13" s="328"/>
      <c r="UWR13" s="328"/>
      <c r="UWT13" s="328"/>
      <c r="UWV13" s="328"/>
      <c r="UWX13" s="328"/>
      <c r="UWZ13" s="328"/>
      <c r="UXB13" s="328"/>
      <c r="UXD13" s="328"/>
      <c r="UXF13" s="328"/>
      <c r="UXH13" s="328"/>
      <c r="UXJ13" s="328"/>
      <c r="UXL13" s="328"/>
      <c r="UXN13" s="328"/>
      <c r="UXP13" s="328"/>
      <c r="UXR13" s="328"/>
      <c r="UXT13" s="328"/>
      <c r="UXV13" s="328"/>
      <c r="UXX13" s="328"/>
      <c r="UXZ13" s="328"/>
      <c r="UYB13" s="328"/>
      <c r="UYD13" s="328"/>
      <c r="UYF13" s="328"/>
      <c r="UYH13" s="328"/>
      <c r="UYJ13" s="328"/>
      <c r="UYL13" s="328"/>
      <c r="UYN13" s="328"/>
      <c r="UYP13" s="328"/>
      <c r="UYR13" s="328"/>
      <c r="UYT13" s="328"/>
      <c r="UYV13" s="328"/>
      <c r="UYX13" s="328"/>
      <c r="UYZ13" s="328"/>
      <c r="UZB13" s="328"/>
      <c r="UZD13" s="328"/>
      <c r="UZF13" s="328"/>
      <c r="UZH13" s="328"/>
      <c r="UZJ13" s="328"/>
      <c r="UZL13" s="328"/>
      <c r="UZN13" s="328"/>
      <c r="UZP13" s="328"/>
      <c r="UZR13" s="328"/>
      <c r="UZT13" s="328"/>
      <c r="UZV13" s="328"/>
      <c r="UZX13" s="328"/>
      <c r="UZZ13" s="328"/>
      <c r="VAB13" s="328"/>
      <c r="VAD13" s="328"/>
      <c r="VAF13" s="328"/>
      <c r="VAH13" s="328"/>
      <c r="VAJ13" s="328"/>
      <c r="VAL13" s="328"/>
      <c r="VAN13" s="328"/>
      <c r="VAP13" s="328"/>
      <c r="VAR13" s="328"/>
      <c r="VAT13" s="328"/>
      <c r="VAV13" s="328"/>
      <c r="VAX13" s="328"/>
      <c r="VAZ13" s="328"/>
      <c r="VBB13" s="328"/>
      <c r="VBD13" s="328"/>
      <c r="VBF13" s="328"/>
      <c r="VBH13" s="328"/>
      <c r="VBJ13" s="328"/>
      <c r="VBL13" s="328"/>
      <c r="VBN13" s="328"/>
      <c r="VBP13" s="328"/>
      <c r="VBR13" s="328"/>
      <c r="VBT13" s="328"/>
      <c r="VBV13" s="328"/>
      <c r="VBX13" s="328"/>
      <c r="VBZ13" s="328"/>
      <c r="VCB13" s="328"/>
      <c r="VCD13" s="328"/>
      <c r="VCF13" s="328"/>
      <c r="VCH13" s="328"/>
      <c r="VCJ13" s="328"/>
      <c r="VCL13" s="328"/>
      <c r="VCN13" s="328"/>
      <c r="VCP13" s="328"/>
      <c r="VCR13" s="328"/>
      <c r="VCT13" s="328"/>
      <c r="VCV13" s="328"/>
      <c r="VCX13" s="328"/>
      <c r="VCZ13" s="328"/>
      <c r="VDB13" s="328"/>
      <c r="VDD13" s="328"/>
      <c r="VDF13" s="328"/>
      <c r="VDH13" s="328"/>
      <c r="VDJ13" s="328"/>
      <c r="VDL13" s="328"/>
      <c r="VDN13" s="328"/>
      <c r="VDP13" s="328"/>
      <c r="VDR13" s="328"/>
      <c r="VDT13" s="328"/>
      <c r="VDV13" s="328"/>
      <c r="VDX13" s="328"/>
      <c r="VDZ13" s="328"/>
      <c r="VEB13" s="328"/>
      <c r="VED13" s="328"/>
      <c r="VEF13" s="328"/>
      <c r="VEH13" s="328"/>
      <c r="VEJ13" s="328"/>
      <c r="VEL13" s="328"/>
      <c r="VEN13" s="328"/>
      <c r="VEP13" s="328"/>
      <c r="VER13" s="328"/>
      <c r="VET13" s="328"/>
      <c r="VEV13" s="328"/>
      <c r="VEX13" s="328"/>
      <c r="VEZ13" s="328"/>
      <c r="VFB13" s="328"/>
      <c r="VFD13" s="328"/>
      <c r="VFF13" s="328"/>
      <c r="VFH13" s="328"/>
      <c r="VFJ13" s="328"/>
      <c r="VFL13" s="328"/>
      <c r="VFN13" s="328"/>
      <c r="VFP13" s="328"/>
      <c r="VFR13" s="328"/>
      <c r="VFT13" s="328"/>
      <c r="VFV13" s="328"/>
      <c r="VFX13" s="328"/>
      <c r="VFZ13" s="328"/>
      <c r="VGB13" s="328"/>
      <c r="VGD13" s="328"/>
      <c r="VGF13" s="328"/>
      <c r="VGH13" s="328"/>
      <c r="VGJ13" s="328"/>
      <c r="VGL13" s="328"/>
      <c r="VGN13" s="328"/>
      <c r="VGP13" s="328"/>
      <c r="VGR13" s="328"/>
      <c r="VGT13" s="328"/>
      <c r="VGV13" s="328"/>
      <c r="VGX13" s="328"/>
      <c r="VGZ13" s="328"/>
      <c r="VHB13" s="328"/>
      <c r="VHD13" s="328"/>
      <c r="VHF13" s="328"/>
      <c r="VHH13" s="328"/>
      <c r="VHJ13" s="328"/>
      <c r="VHL13" s="328"/>
      <c r="VHN13" s="328"/>
      <c r="VHP13" s="328"/>
      <c r="VHR13" s="328"/>
      <c r="VHT13" s="328"/>
      <c r="VHV13" s="328"/>
      <c r="VHX13" s="328"/>
      <c r="VHZ13" s="328"/>
      <c r="VIB13" s="328"/>
      <c r="VID13" s="328"/>
      <c r="VIF13" s="328"/>
      <c r="VIH13" s="328"/>
      <c r="VIJ13" s="328"/>
      <c r="VIL13" s="328"/>
      <c r="VIN13" s="328"/>
      <c r="VIP13" s="328"/>
      <c r="VIR13" s="328"/>
      <c r="VIT13" s="328"/>
      <c r="VIV13" s="328"/>
      <c r="VIX13" s="328"/>
      <c r="VIZ13" s="328"/>
      <c r="VJB13" s="328"/>
      <c r="VJD13" s="328"/>
      <c r="VJF13" s="328"/>
      <c r="VJH13" s="328"/>
      <c r="VJJ13" s="328"/>
      <c r="VJL13" s="328"/>
      <c r="VJN13" s="328"/>
      <c r="VJP13" s="328"/>
      <c r="VJR13" s="328"/>
      <c r="VJT13" s="328"/>
      <c r="VJV13" s="328"/>
      <c r="VJX13" s="328"/>
      <c r="VJZ13" s="328"/>
      <c r="VKB13" s="328"/>
      <c r="VKD13" s="328"/>
      <c r="VKF13" s="328"/>
      <c r="VKH13" s="328"/>
      <c r="VKJ13" s="328"/>
      <c r="VKL13" s="328"/>
      <c r="VKN13" s="328"/>
      <c r="VKP13" s="328"/>
      <c r="VKR13" s="328"/>
      <c r="VKT13" s="328"/>
      <c r="VKV13" s="328"/>
      <c r="VKX13" s="328"/>
      <c r="VKZ13" s="328"/>
      <c r="VLB13" s="328"/>
      <c r="VLD13" s="328"/>
      <c r="VLF13" s="328"/>
      <c r="VLH13" s="328"/>
      <c r="VLJ13" s="328"/>
      <c r="VLL13" s="328"/>
      <c r="VLN13" s="328"/>
      <c r="VLP13" s="328"/>
      <c r="VLR13" s="328"/>
      <c r="VLT13" s="328"/>
      <c r="VLV13" s="328"/>
      <c r="VLX13" s="328"/>
      <c r="VLZ13" s="328"/>
      <c r="VMB13" s="328"/>
      <c r="VMD13" s="328"/>
      <c r="VMF13" s="328"/>
      <c r="VMH13" s="328"/>
      <c r="VMJ13" s="328"/>
      <c r="VML13" s="328"/>
      <c r="VMN13" s="328"/>
      <c r="VMP13" s="328"/>
      <c r="VMR13" s="328"/>
      <c r="VMT13" s="328"/>
      <c r="VMV13" s="328"/>
      <c r="VMX13" s="328"/>
      <c r="VMZ13" s="328"/>
      <c r="VNB13" s="328"/>
      <c r="VND13" s="328"/>
      <c r="VNF13" s="328"/>
      <c r="VNH13" s="328"/>
      <c r="VNJ13" s="328"/>
      <c r="VNL13" s="328"/>
      <c r="VNN13" s="328"/>
      <c r="VNP13" s="328"/>
      <c r="VNR13" s="328"/>
      <c r="VNT13" s="328"/>
      <c r="VNV13" s="328"/>
      <c r="VNX13" s="328"/>
      <c r="VNZ13" s="328"/>
      <c r="VOB13" s="328"/>
      <c r="VOD13" s="328"/>
      <c r="VOF13" s="328"/>
      <c r="VOH13" s="328"/>
      <c r="VOJ13" s="328"/>
      <c r="VOL13" s="328"/>
      <c r="VON13" s="328"/>
      <c r="VOP13" s="328"/>
      <c r="VOR13" s="328"/>
      <c r="VOT13" s="328"/>
      <c r="VOV13" s="328"/>
      <c r="VOX13" s="328"/>
      <c r="VOZ13" s="328"/>
      <c r="VPB13" s="328"/>
      <c r="VPD13" s="328"/>
      <c r="VPF13" s="328"/>
      <c r="VPH13" s="328"/>
      <c r="VPJ13" s="328"/>
      <c r="VPL13" s="328"/>
      <c r="VPN13" s="328"/>
      <c r="VPP13" s="328"/>
      <c r="VPR13" s="328"/>
      <c r="VPT13" s="328"/>
      <c r="VPV13" s="328"/>
      <c r="VPX13" s="328"/>
      <c r="VPZ13" s="328"/>
      <c r="VQB13" s="328"/>
      <c r="VQD13" s="328"/>
      <c r="VQF13" s="328"/>
      <c r="VQH13" s="328"/>
      <c r="VQJ13" s="328"/>
      <c r="VQL13" s="328"/>
      <c r="VQN13" s="328"/>
      <c r="VQP13" s="328"/>
      <c r="VQR13" s="328"/>
      <c r="VQT13" s="328"/>
      <c r="VQV13" s="328"/>
      <c r="VQX13" s="328"/>
      <c r="VQZ13" s="328"/>
      <c r="VRB13" s="328"/>
      <c r="VRD13" s="328"/>
      <c r="VRF13" s="328"/>
      <c r="VRH13" s="328"/>
      <c r="VRJ13" s="328"/>
      <c r="VRL13" s="328"/>
      <c r="VRN13" s="328"/>
      <c r="VRP13" s="328"/>
      <c r="VRR13" s="328"/>
      <c r="VRT13" s="328"/>
      <c r="VRV13" s="328"/>
      <c r="VRX13" s="328"/>
      <c r="VRZ13" s="328"/>
      <c r="VSB13" s="328"/>
      <c r="VSD13" s="328"/>
      <c r="VSF13" s="328"/>
      <c r="VSH13" s="328"/>
      <c r="VSJ13" s="328"/>
      <c r="VSL13" s="328"/>
      <c r="VSN13" s="328"/>
      <c r="VSP13" s="328"/>
      <c r="VSR13" s="328"/>
      <c r="VST13" s="328"/>
      <c r="VSV13" s="328"/>
      <c r="VSX13" s="328"/>
      <c r="VSZ13" s="328"/>
      <c r="VTB13" s="328"/>
      <c r="VTD13" s="328"/>
      <c r="VTF13" s="328"/>
      <c r="VTH13" s="328"/>
      <c r="VTJ13" s="328"/>
      <c r="VTL13" s="328"/>
      <c r="VTN13" s="328"/>
      <c r="VTP13" s="328"/>
      <c r="VTR13" s="328"/>
      <c r="VTT13" s="328"/>
      <c r="VTV13" s="328"/>
      <c r="VTX13" s="328"/>
      <c r="VTZ13" s="328"/>
      <c r="VUB13" s="328"/>
      <c r="VUD13" s="328"/>
      <c r="VUF13" s="328"/>
      <c r="VUH13" s="328"/>
      <c r="VUJ13" s="328"/>
      <c r="VUL13" s="328"/>
      <c r="VUN13" s="328"/>
      <c r="VUP13" s="328"/>
      <c r="VUR13" s="328"/>
      <c r="VUT13" s="328"/>
      <c r="VUV13" s="328"/>
      <c r="VUX13" s="328"/>
      <c r="VUZ13" s="328"/>
      <c r="VVB13" s="328"/>
      <c r="VVD13" s="328"/>
      <c r="VVF13" s="328"/>
      <c r="VVH13" s="328"/>
      <c r="VVJ13" s="328"/>
      <c r="VVL13" s="328"/>
      <c r="VVN13" s="328"/>
      <c r="VVP13" s="328"/>
      <c r="VVR13" s="328"/>
      <c r="VVT13" s="328"/>
      <c r="VVV13" s="328"/>
      <c r="VVX13" s="328"/>
      <c r="VVZ13" s="328"/>
      <c r="VWB13" s="328"/>
      <c r="VWD13" s="328"/>
      <c r="VWF13" s="328"/>
      <c r="VWH13" s="328"/>
      <c r="VWJ13" s="328"/>
      <c r="VWL13" s="328"/>
      <c r="VWN13" s="328"/>
      <c r="VWP13" s="328"/>
      <c r="VWR13" s="328"/>
      <c r="VWT13" s="328"/>
      <c r="VWV13" s="328"/>
      <c r="VWX13" s="328"/>
      <c r="VWZ13" s="328"/>
      <c r="VXB13" s="328"/>
      <c r="VXD13" s="328"/>
      <c r="VXF13" s="328"/>
      <c r="VXH13" s="328"/>
      <c r="VXJ13" s="328"/>
      <c r="VXL13" s="328"/>
      <c r="VXN13" s="328"/>
      <c r="VXP13" s="328"/>
      <c r="VXR13" s="328"/>
      <c r="VXT13" s="328"/>
      <c r="VXV13" s="328"/>
      <c r="VXX13" s="328"/>
      <c r="VXZ13" s="328"/>
      <c r="VYB13" s="328"/>
      <c r="VYD13" s="328"/>
      <c r="VYF13" s="328"/>
      <c r="VYH13" s="328"/>
      <c r="VYJ13" s="328"/>
      <c r="VYL13" s="328"/>
      <c r="VYN13" s="328"/>
      <c r="VYP13" s="328"/>
      <c r="VYR13" s="328"/>
      <c r="VYT13" s="328"/>
      <c r="VYV13" s="328"/>
      <c r="VYX13" s="328"/>
      <c r="VYZ13" s="328"/>
      <c r="VZB13" s="328"/>
      <c r="VZD13" s="328"/>
      <c r="VZF13" s="328"/>
      <c r="VZH13" s="328"/>
      <c r="VZJ13" s="328"/>
      <c r="VZL13" s="328"/>
      <c r="VZN13" s="328"/>
      <c r="VZP13" s="328"/>
      <c r="VZR13" s="328"/>
      <c r="VZT13" s="328"/>
      <c r="VZV13" s="328"/>
      <c r="VZX13" s="328"/>
      <c r="VZZ13" s="328"/>
      <c r="WAB13" s="328"/>
      <c r="WAD13" s="328"/>
      <c r="WAF13" s="328"/>
      <c r="WAH13" s="328"/>
      <c r="WAJ13" s="328"/>
      <c r="WAL13" s="328"/>
      <c r="WAN13" s="328"/>
      <c r="WAP13" s="328"/>
      <c r="WAR13" s="328"/>
      <c r="WAT13" s="328"/>
      <c r="WAV13" s="328"/>
      <c r="WAX13" s="328"/>
      <c r="WAZ13" s="328"/>
      <c r="WBB13" s="328"/>
      <c r="WBD13" s="328"/>
      <c r="WBF13" s="328"/>
      <c r="WBH13" s="328"/>
      <c r="WBJ13" s="328"/>
      <c r="WBL13" s="328"/>
      <c r="WBN13" s="328"/>
      <c r="WBP13" s="328"/>
      <c r="WBR13" s="328"/>
      <c r="WBT13" s="328"/>
      <c r="WBV13" s="328"/>
      <c r="WBX13" s="328"/>
      <c r="WBZ13" s="328"/>
      <c r="WCB13" s="328"/>
      <c r="WCD13" s="328"/>
      <c r="WCF13" s="328"/>
      <c r="WCH13" s="328"/>
      <c r="WCJ13" s="328"/>
      <c r="WCL13" s="328"/>
      <c r="WCN13" s="328"/>
      <c r="WCP13" s="328"/>
      <c r="WCR13" s="328"/>
      <c r="WCT13" s="328"/>
      <c r="WCV13" s="328"/>
      <c r="WCX13" s="328"/>
      <c r="WCZ13" s="328"/>
      <c r="WDB13" s="328"/>
      <c r="WDD13" s="328"/>
      <c r="WDF13" s="328"/>
      <c r="WDH13" s="328"/>
      <c r="WDJ13" s="328"/>
      <c r="WDL13" s="328"/>
      <c r="WDN13" s="328"/>
      <c r="WDP13" s="328"/>
      <c r="WDR13" s="328"/>
      <c r="WDT13" s="328"/>
      <c r="WDV13" s="328"/>
      <c r="WDX13" s="328"/>
      <c r="WDZ13" s="328"/>
      <c r="WEB13" s="328"/>
      <c r="WED13" s="328"/>
      <c r="WEF13" s="328"/>
      <c r="WEH13" s="328"/>
      <c r="WEJ13" s="328"/>
      <c r="WEL13" s="328"/>
      <c r="WEN13" s="328"/>
      <c r="WEP13" s="328"/>
      <c r="WER13" s="328"/>
      <c r="WET13" s="328"/>
      <c r="WEV13" s="328"/>
      <c r="WEX13" s="328"/>
      <c r="WEZ13" s="328"/>
      <c r="WFB13" s="328"/>
      <c r="WFD13" s="328"/>
      <c r="WFF13" s="328"/>
      <c r="WFH13" s="328"/>
      <c r="WFJ13" s="328"/>
      <c r="WFL13" s="328"/>
      <c r="WFN13" s="328"/>
      <c r="WFP13" s="328"/>
      <c r="WFR13" s="328"/>
      <c r="WFT13" s="328"/>
      <c r="WFV13" s="328"/>
      <c r="WFX13" s="328"/>
      <c r="WFZ13" s="328"/>
      <c r="WGB13" s="328"/>
      <c r="WGD13" s="328"/>
      <c r="WGF13" s="328"/>
      <c r="WGH13" s="328"/>
      <c r="WGJ13" s="328"/>
      <c r="WGL13" s="328"/>
      <c r="WGN13" s="328"/>
      <c r="WGP13" s="328"/>
      <c r="WGR13" s="328"/>
      <c r="WGT13" s="328"/>
      <c r="WGV13" s="328"/>
      <c r="WGX13" s="328"/>
      <c r="WGZ13" s="328"/>
      <c r="WHB13" s="328"/>
      <c r="WHD13" s="328"/>
      <c r="WHF13" s="328"/>
      <c r="WHH13" s="328"/>
      <c r="WHJ13" s="328"/>
      <c r="WHL13" s="328"/>
      <c r="WHN13" s="328"/>
      <c r="WHP13" s="328"/>
      <c r="WHR13" s="328"/>
      <c r="WHT13" s="328"/>
      <c r="WHV13" s="328"/>
      <c r="WHX13" s="328"/>
      <c r="WHZ13" s="328"/>
      <c r="WIB13" s="328"/>
      <c r="WID13" s="328"/>
      <c r="WIF13" s="328"/>
      <c r="WIH13" s="328"/>
      <c r="WIJ13" s="328"/>
      <c r="WIL13" s="328"/>
      <c r="WIN13" s="328"/>
      <c r="WIP13" s="328"/>
      <c r="WIR13" s="328"/>
      <c r="WIT13" s="328"/>
      <c r="WIV13" s="328"/>
      <c r="WIX13" s="328"/>
      <c r="WIZ13" s="328"/>
      <c r="WJB13" s="328"/>
      <c r="WJD13" s="328"/>
      <c r="WJF13" s="328"/>
      <c r="WJH13" s="328"/>
      <c r="WJJ13" s="328"/>
      <c r="WJL13" s="328"/>
      <c r="WJN13" s="328"/>
      <c r="WJP13" s="328"/>
      <c r="WJR13" s="328"/>
      <c r="WJT13" s="328"/>
      <c r="WJV13" s="328"/>
      <c r="WJX13" s="328"/>
      <c r="WJZ13" s="328"/>
      <c r="WKB13" s="328"/>
      <c r="WKD13" s="328"/>
      <c r="WKF13" s="328"/>
      <c r="WKH13" s="328"/>
      <c r="WKJ13" s="328"/>
      <c r="WKL13" s="328"/>
      <c r="WKN13" s="328"/>
      <c r="WKP13" s="328"/>
      <c r="WKR13" s="328"/>
      <c r="WKT13" s="328"/>
      <c r="WKV13" s="328"/>
      <c r="WKX13" s="328"/>
      <c r="WKZ13" s="328"/>
      <c r="WLB13" s="328"/>
      <c r="WLD13" s="328"/>
      <c r="WLF13" s="328"/>
      <c r="WLH13" s="328"/>
      <c r="WLJ13" s="328"/>
      <c r="WLL13" s="328"/>
      <c r="WLN13" s="328"/>
      <c r="WLP13" s="328"/>
      <c r="WLR13" s="328"/>
      <c r="WLT13" s="328"/>
      <c r="WLV13" s="328"/>
      <c r="WLX13" s="328"/>
      <c r="WLZ13" s="328"/>
      <c r="WMB13" s="328"/>
      <c r="WMD13" s="328"/>
      <c r="WMF13" s="328"/>
      <c r="WMH13" s="328"/>
      <c r="WMJ13" s="328"/>
      <c r="WML13" s="328"/>
      <c r="WMN13" s="328"/>
      <c r="WMP13" s="328"/>
      <c r="WMR13" s="328"/>
      <c r="WMT13" s="328"/>
      <c r="WMV13" s="328"/>
      <c r="WMX13" s="328"/>
      <c r="WMZ13" s="328"/>
      <c r="WNB13" s="328"/>
      <c r="WND13" s="328"/>
      <c r="WNF13" s="328"/>
      <c r="WNH13" s="328"/>
      <c r="WNJ13" s="328"/>
      <c r="WNL13" s="328"/>
      <c r="WNN13" s="328"/>
      <c r="WNP13" s="328"/>
      <c r="WNR13" s="328"/>
      <c r="WNT13" s="328"/>
      <c r="WNV13" s="328"/>
      <c r="WNX13" s="328"/>
      <c r="WNZ13" s="328"/>
      <c r="WOB13" s="328"/>
      <c r="WOD13" s="328"/>
      <c r="WOF13" s="328"/>
      <c r="WOH13" s="328"/>
      <c r="WOJ13" s="328"/>
      <c r="WOL13" s="328"/>
      <c r="WON13" s="328"/>
      <c r="WOP13" s="328"/>
      <c r="WOR13" s="328"/>
      <c r="WOT13" s="328"/>
      <c r="WOV13" s="328"/>
      <c r="WOX13" s="328"/>
      <c r="WOZ13" s="328"/>
      <c r="WPB13" s="328"/>
      <c r="WPD13" s="328"/>
      <c r="WPF13" s="328"/>
      <c r="WPH13" s="328"/>
      <c r="WPJ13" s="328"/>
      <c r="WPL13" s="328"/>
      <c r="WPN13" s="328"/>
      <c r="WPP13" s="328"/>
      <c r="WPR13" s="328"/>
      <c r="WPT13" s="328"/>
      <c r="WPV13" s="328"/>
      <c r="WPX13" s="328"/>
      <c r="WPZ13" s="328"/>
      <c r="WQB13" s="328"/>
      <c r="WQD13" s="328"/>
      <c r="WQF13" s="328"/>
      <c r="WQH13" s="328"/>
      <c r="WQJ13" s="328"/>
      <c r="WQL13" s="328"/>
      <c r="WQN13" s="328"/>
      <c r="WQP13" s="328"/>
      <c r="WQR13" s="328"/>
      <c r="WQT13" s="328"/>
      <c r="WQV13" s="328"/>
      <c r="WQX13" s="328"/>
      <c r="WQZ13" s="328"/>
      <c r="WRB13" s="328"/>
      <c r="WRD13" s="328"/>
      <c r="WRF13" s="328"/>
      <c r="WRH13" s="328"/>
      <c r="WRJ13" s="328"/>
      <c r="WRL13" s="328"/>
      <c r="WRN13" s="328"/>
      <c r="WRP13" s="328"/>
      <c r="WRR13" s="328"/>
      <c r="WRT13" s="328"/>
      <c r="WRV13" s="328"/>
      <c r="WRX13" s="328"/>
      <c r="WRZ13" s="328"/>
      <c r="WSB13" s="328"/>
      <c r="WSD13" s="328"/>
      <c r="WSF13" s="328"/>
      <c r="WSH13" s="328"/>
      <c r="WSJ13" s="328"/>
      <c r="WSL13" s="328"/>
      <c r="WSN13" s="328"/>
      <c r="WSP13" s="328"/>
      <c r="WSR13" s="328"/>
      <c r="WST13" s="328"/>
      <c r="WSV13" s="328"/>
      <c r="WSX13" s="328"/>
      <c r="WSZ13" s="328"/>
      <c r="WTB13" s="328"/>
      <c r="WTD13" s="328"/>
      <c r="WTF13" s="328"/>
      <c r="WTH13" s="328"/>
      <c r="WTJ13" s="328"/>
      <c r="WTL13" s="328"/>
      <c r="WTN13" s="328"/>
      <c r="WTP13" s="328"/>
      <c r="WTR13" s="328"/>
      <c r="WTT13" s="328"/>
      <c r="WTV13" s="328"/>
      <c r="WTX13" s="328"/>
      <c r="WTZ13" s="328"/>
      <c r="WUB13" s="328"/>
      <c r="WUD13" s="328"/>
      <c r="WUF13" s="328"/>
      <c r="WUH13" s="328"/>
      <c r="WUJ13" s="328"/>
      <c r="WUL13" s="328"/>
      <c r="WUN13" s="328"/>
      <c r="WUP13" s="328"/>
      <c r="WUR13" s="328"/>
      <c r="WUT13" s="328"/>
      <c r="WUV13" s="328"/>
      <c r="WUX13" s="328"/>
      <c r="WUZ13" s="328"/>
      <c r="WVB13" s="328"/>
      <c r="WVD13" s="328"/>
      <c r="WVF13" s="328"/>
      <c r="WVH13" s="328"/>
      <c r="WVJ13" s="328"/>
      <c r="WVL13" s="328"/>
      <c r="WVN13" s="328"/>
      <c r="WVP13" s="328"/>
      <c r="WVR13" s="328"/>
      <c r="WVT13" s="328"/>
      <c r="WVV13" s="328"/>
      <c r="WVX13" s="328"/>
      <c r="WVZ13" s="328"/>
      <c r="WWB13" s="328"/>
      <c r="WWD13" s="328"/>
      <c r="WWF13" s="328"/>
      <c r="WWH13" s="328"/>
      <c r="WWJ13" s="328"/>
      <c r="WWL13" s="328"/>
      <c r="WWN13" s="328"/>
      <c r="WWP13" s="328"/>
      <c r="WWR13" s="328"/>
      <c r="WWT13" s="328"/>
      <c r="WWV13" s="328"/>
      <c r="WWX13" s="328"/>
      <c r="WWZ13" s="328"/>
      <c r="WXB13" s="328"/>
      <c r="WXD13" s="328"/>
      <c r="WXF13" s="328"/>
      <c r="WXH13" s="328"/>
      <c r="WXJ13" s="328"/>
      <c r="WXL13" s="328"/>
      <c r="WXN13" s="328"/>
      <c r="WXP13" s="328"/>
      <c r="WXR13" s="328"/>
      <c r="WXT13" s="328"/>
      <c r="WXV13" s="328"/>
      <c r="WXX13" s="328"/>
      <c r="WXZ13" s="328"/>
      <c r="WYB13" s="328"/>
      <c r="WYD13" s="328"/>
      <c r="WYF13" s="328"/>
      <c r="WYH13" s="328"/>
      <c r="WYJ13" s="328"/>
      <c r="WYL13" s="328"/>
      <c r="WYN13" s="328"/>
      <c r="WYP13" s="328"/>
      <c r="WYR13" s="328"/>
      <c r="WYT13" s="328"/>
      <c r="WYV13" s="328"/>
      <c r="WYX13" s="328"/>
      <c r="WYZ13" s="328"/>
      <c r="WZB13" s="328"/>
      <c r="WZD13" s="328"/>
      <c r="WZF13" s="328"/>
      <c r="WZH13" s="328"/>
      <c r="WZJ13" s="328"/>
      <c r="WZL13" s="328"/>
      <c r="WZN13" s="328"/>
      <c r="WZP13" s="328"/>
      <c r="WZR13" s="328"/>
      <c r="WZT13" s="328"/>
      <c r="WZV13" s="328"/>
      <c r="WZX13" s="328"/>
      <c r="WZZ13" s="328"/>
      <c r="XAB13" s="328"/>
      <c r="XAD13" s="328"/>
      <c r="XAF13" s="328"/>
      <c r="XAH13" s="328"/>
      <c r="XAJ13" s="328"/>
      <c r="XAL13" s="328"/>
      <c r="XAN13" s="328"/>
      <c r="XAP13" s="328"/>
      <c r="XAR13" s="328"/>
      <c r="XAT13" s="328"/>
      <c r="XAV13" s="328"/>
      <c r="XAX13" s="328"/>
      <c r="XAZ13" s="328"/>
      <c r="XBB13" s="328"/>
      <c r="XBD13" s="328"/>
      <c r="XBF13" s="328"/>
      <c r="XBH13" s="328"/>
      <c r="XBJ13" s="328"/>
      <c r="XBL13" s="328"/>
      <c r="XBN13" s="328"/>
      <c r="XBP13" s="328"/>
      <c r="XBR13" s="328"/>
      <c r="XBT13" s="328"/>
      <c r="XBV13" s="328"/>
      <c r="XBX13" s="328"/>
      <c r="XBZ13" s="328"/>
      <c r="XCB13" s="328"/>
      <c r="XCD13" s="328"/>
      <c r="XCF13" s="328"/>
      <c r="XCH13" s="328"/>
      <c r="XCJ13" s="328"/>
      <c r="XCL13" s="328"/>
      <c r="XCN13" s="328"/>
      <c r="XCP13" s="328"/>
      <c r="XCR13" s="328"/>
      <c r="XCT13" s="328"/>
      <c r="XCV13" s="328"/>
      <c r="XCX13" s="328"/>
      <c r="XCZ13" s="328"/>
      <c r="XDB13" s="328"/>
      <c r="XDD13" s="328"/>
      <c r="XDF13" s="328"/>
      <c r="XDH13" s="328"/>
      <c r="XDJ13" s="328"/>
      <c r="XDL13" s="328"/>
      <c r="XDN13" s="328"/>
      <c r="XDP13" s="328"/>
      <c r="XDR13" s="328"/>
      <c r="XDT13" s="328"/>
      <c r="XDV13" s="328"/>
      <c r="XDX13" s="328"/>
      <c r="XDZ13" s="328"/>
      <c r="XEB13" s="328"/>
      <c r="XED13" s="328"/>
      <c r="XEF13" s="328"/>
      <c r="XEH13" s="328"/>
      <c r="XEJ13" s="328"/>
      <c r="XEL13" s="328"/>
      <c r="XEN13" s="328"/>
      <c r="XEP13" s="328"/>
      <c r="XER13" s="328"/>
      <c r="XET13" s="328"/>
      <c r="XEV13" s="328"/>
      <c r="XEX13" s="328"/>
      <c r="XEZ13" s="328"/>
      <c r="XFB13" s="328"/>
      <c r="XFD13" s="328"/>
    </row>
    <row r="14" spans="1:1024 1026:2048 2050:3072 3074:4096 4098:5120 5122:6144 6146:7168 7170:8192 8194:9216 9218:10240 10242:11264 11266:12288 12290:13312 13314:14336 14338:15360 15362:16384" x14ac:dyDescent="0.2">
      <c r="A14" s="5" t="s">
        <v>479</v>
      </c>
      <c r="B14" s="6">
        <v>1</v>
      </c>
      <c r="D14" s="3" t="s">
        <v>18</v>
      </c>
      <c r="E14" s="6">
        <f>SUM(E3:E13)</f>
        <v>40</v>
      </c>
      <c r="G14" s="3" t="s">
        <v>524</v>
      </c>
      <c r="H14" s="6">
        <f>SUM(H3:H13)</f>
        <v>40</v>
      </c>
    </row>
    <row r="15" spans="1:1024 1026:2048 2050:3072 3074:4096 4098:5120 5122:6144 6146:7168 7170:8192 8194:9216 9218:10240 10242:11264 11266:12288 12290:13312 13314:14336 14338:15360 15362:16384" x14ac:dyDescent="0.2">
      <c r="A15" s="3" t="s">
        <v>18</v>
      </c>
      <c r="B15" s="6">
        <f>SUM(B3:B14)</f>
        <v>40</v>
      </c>
    </row>
    <row r="18" spans="1:8" x14ac:dyDescent="0.2">
      <c r="A18" t="s">
        <v>33</v>
      </c>
    </row>
    <row r="22" spans="1:8" x14ac:dyDescent="0.2">
      <c r="A22" s="2" t="s">
        <v>14</v>
      </c>
      <c r="D22" s="2" t="s">
        <v>25</v>
      </c>
      <c r="G22" s="2" t="s">
        <v>34</v>
      </c>
    </row>
    <row r="23" spans="1:8" ht="32" x14ac:dyDescent="0.2">
      <c r="A23" s="4" t="s">
        <v>15</v>
      </c>
      <c r="B23" s="4" t="s">
        <v>16</v>
      </c>
      <c r="C23" s="1"/>
      <c r="D23" s="4" t="s">
        <v>15</v>
      </c>
      <c r="E23" s="4" t="s">
        <v>16</v>
      </c>
      <c r="F23" s="1"/>
      <c r="G23" s="4" t="s">
        <v>15</v>
      </c>
      <c r="H23" s="4" t="s">
        <v>16</v>
      </c>
    </row>
    <row r="24" spans="1:8" x14ac:dyDescent="0.2">
      <c r="A24" s="5" t="s">
        <v>19</v>
      </c>
      <c r="B24" s="6">
        <v>5</v>
      </c>
      <c r="D24" s="5" t="s">
        <v>26</v>
      </c>
      <c r="E24" s="6">
        <v>5</v>
      </c>
      <c r="G24" s="5" t="s">
        <v>35</v>
      </c>
      <c r="H24" s="6">
        <v>5</v>
      </c>
    </row>
    <row r="25" spans="1:8" x14ac:dyDescent="0.2">
      <c r="A25" s="5" t="s">
        <v>20</v>
      </c>
      <c r="B25" s="6">
        <v>5</v>
      </c>
      <c r="D25" s="5" t="s">
        <v>27</v>
      </c>
      <c r="E25" s="6">
        <v>5</v>
      </c>
      <c r="G25" s="5" t="s">
        <v>36</v>
      </c>
      <c r="H25" s="6">
        <v>5</v>
      </c>
    </row>
    <row r="26" spans="1:8" x14ac:dyDescent="0.2">
      <c r="A26" s="5" t="s">
        <v>43</v>
      </c>
      <c r="B26" s="6">
        <v>6</v>
      </c>
      <c r="D26" s="5" t="s">
        <v>58</v>
      </c>
      <c r="E26" s="6">
        <v>6</v>
      </c>
      <c r="G26" s="5" t="s">
        <v>59</v>
      </c>
      <c r="H26" s="6">
        <v>6</v>
      </c>
    </row>
    <row r="27" spans="1:8" x14ac:dyDescent="0.2">
      <c r="A27" s="5" t="s">
        <v>44</v>
      </c>
      <c r="B27" s="6">
        <v>5</v>
      </c>
      <c r="D27" s="5" t="s">
        <v>28</v>
      </c>
      <c r="E27" s="6">
        <v>4</v>
      </c>
      <c r="G27" s="5" t="s">
        <v>37</v>
      </c>
      <c r="H27" s="6">
        <v>4</v>
      </c>
    </row>
    <row r="28" spans="1:8" x14ac:dyDescent="0.2">
      <c r="A28" s="5" t="s">
        <v>21</v>
      </c>
      <c r="B28" s="6">
        <v>3</v>
      </c>
      <c r="D28" s="5" t="s">
        <v>29</v>
      </c>
      <c r="E28" s="6">
        <v>4</v>
      </c>
      <c r="G28" s="5" t="s">
        <v>38</v>
      </c>
      <c r="H28" s="6">
        <v>4</v>
      </c>
    </row>
    <row r="29" spans="1:8" x14ac:dyDescent="0.2">
      <c r="A29" s="5" t="s">
        <v>22</v>
      </c>
      <c r="B29" s="6">
        <v>2</v>
      </c>
      <c r="D29" s="5" t="s">
        <v>30</v>
      </c>
      <c r="E29" s="6">
        <v>3</v>
      </c>
      <c r="G29" s="5" t="s">
        <v>39</v>
      </c>
      <c r="H29" s="6">
        <v>3</v>
      </c>
    </row>
    <row r="30" spans="1:8" x14ac:dyDescent="0.2">
      <c r="A30" s="5" t="s">
        <v>23</v>
      </c>
      <c r="B30" s="6">
        <v>8</v>
      </c>
      <c r="D30" s="5" t="s">
        <v>31</v>
      </c>
      <c r="E30" s="6">
        <v>2</v>
      </c>
      <c r="G30" s="5" t="s">
        <v>40</v>
      </c>
      <c r="H30" s="6">
        <v>2</v>
      </c>
    </row>
    <row r="31" spans="1:8" x14ac:dyDescent="0.2">
      <c r="A31" s="5" t="s">
        <v>49</v>
      </c>
      <c r="B31" s="6">
        <v>2</v>
      </c>
      <c r="D31" s="5" t="s">
        <v>32</v>
      </c>
      <c r="E31" s="6">
        <v>8</v>
      </c>
      <c r="G31" s="5" t="s">
        <v>41</v>
      </c>
      <c r="H31" s="6">
        <v>8</v>
      </c>
    </row>
    <row r="32" spans="1:8" x14ac:dyDescent="0.2">
      <c r="A32" s="5" t="s">
        <v>24</v>
      </c>
      <c r="B32" s="6">
        <v>3</v>
      </c>
      <c r="D32" s="5" t="s">
        <v>50</v>
      </c>
      <c r="E32" s="6">
        <v>2</v>
      </c>
      <c r="G32" s="5" t="s">
        <v>51</v>
      </c>
      <c r="H32" s="6">
        <v>2</v>
      </c>
    </row>
    <row r="33" spans="1:8" x14ac:dyDescent="0.2">
      <c r="A33" s="5" t="s">
        <v>57</v>
      </c>
      <c r="B33" s="6">
        <v>1</v>
      </c>
      <c r="D33" s="8" t="s">
        <v>57</v>
      </c>
      <c r="E33" s="6">
        <v>1</v>
      </c>
      <c r="G33" s="5" t="s">
        <v>57</v>
      </c>
      <c r="H33" s="6">
        <v>1</v>
      </c>
    </row>
    <row r="34" spans="1:8" x14ac:dyDescent="0.2">
      <c r="A34" s="3" t="s">
        <v>18</v>
      </c>
      <c r="B34" s="6">
        <f>SUM(B24:B33)</f>
        <v>40</v>
      </c>
      <c r="D34" s="3" t="s">
        <v>18</v>
      </c>
      <c r="E34" s="6">
        <f>SUM(E24:E33)</f>
        <v>40</v>
      </c>
      <c r="G34" s="3" t="s">
        <v>17</v>
      </c>
      <c r="H34" s="6">
        <f>SUM(H24:H33)</f>
        <v>40</v>
      </c>
    </row>
    <row r="36" spans="1:8" x14ac:dyDescent="0.2">
      <c r="A36" s="7" t="s">
        <v>33</v>
      </c>
    </row>
    <row r="39" spans="1:8" ht="32" x14ac:dyDescent="0.2">
      <c r="B39" s="67" t="s">
        <v>132</v>
      </c>
      <c r="C39" s="67" t="s">
        <v>133</v>
      </c>
      <c r="D39" s="67" t="s">
        <v>138</v>
      </c>
      <c r="E39" s="67" t="s">
        <v>13</v>
      </c>
    </row>
    <row r="40" spans="1:8" x14ac:dyDescent="0.2">
      <c r="B40" s="6">
        <v>1</v>
      </c>
      <c r="C40" s="6" t="s">
        <v>134</v>
      </c>
      <c r="D40" s="65" t="s">
        <v>139</v>
      </c>
      <c r="E40" s="68">
        <v>5</v>
      </c>
    </row>
    <row r="41" spans="1:8" x14ac:dyDescent="0.2">
      <c r="B41" s="6">
        <v>2</v>
      </c>
      <c r="C41" s="6" t="s">
        <v>135</v>
      </c>
      <c r="D41" s="65" t="s">
        <v>140</v>
      </c>
      <c r="E41" s="68">
        <v>5</v>
      </c>
    </row>
    <row r="42" spans="1:8" x14ac:dyDescent="0.2">
      <c r="B42" s="6">
        <v>3</v>
      </c>
      <c r="C42" s="6" t="s">
        <v>136</v>
      </c>
      <c r="D42" s="65" t="s">
        <v>141</v>
      </c>
      <c r="E42" s="68">
        <v>6</v>
      </c>
    </row>
    <row r="43" spans="1:8" x14ac:dyDescent="0.2">
      <c r="C43" s="6" t="s">
        <v>137</v>
      </c>
      <c r="D43" s="65" t="s">
        <v>142</v>
      </c>
      <c r="E43" s="68">
        <v>5</v>
      </c>
    </row>
    <row r="44" spans="1:8" x14ac:dyDescent="0.2">
      <c r="D44" s="66" t="s">
        <v>149</v>
      </c>
      <c r="E44" s="68">
        <v>4</v>
      </c>
    </row>
    <row r="45" spans="1:8" x14ac:dyDescent="0.2">
      <c r="D45" s="66" t="s">
        <v>150</v>
      </c>
      <c r="E45" s="68">
        <v>4</v>
      </c>
    </row>
    <row r="46" spans="1:8" x14ac:dyDescent="0.2">
      <c r="D46" s="65" t="s">
        <v>143</v>
      </c>
      <c r="E46" s="68">
        <v>3</v>
      </c>
    </row>
    <row r="47" spans="1:8" x14ac:dyDescent="0.2">
      <c r="D47" s="65" t="s">
        <v>144</v>
      </c>
      <c r="E47" s="68">
        <v>2</v>
      </c>
    </row>
    <row r="48" spans="1:8" x14ac:dyDescent="0.2">
      <c r="D48" s="65" t="s">
        <v>145</v>
      </c>
      <c r="E48" s="68">
        <v>8</v>
      </c>
    </row>
    <row r="49" spans="4:5" x14ac:dyDescent="0.2">
      <c r="D49" s="65" t="s">
        <v>146</v>
      </c>
      <c r="E49" s="68">
        <v>2</v>
      </c>
    </row>
    <row r="50" spans="4:5" x14ac:dyDescent="0.2">
      <c r="D50" s="65" t="s">
        <v>147</v>
      </c>
      <c r="E50" s="68">
        <v>3</v>
      </c>
    </row>
    <row r="51" spans="4:5" x14ac:dyDescent="0.2">
      <c r="D51" s="65" t="s">
        <v>148</v>
      </c>
      <c r="E51" s="68"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L56"/>
  <sheetViews>
    <sheetView showGridLines="0" zoomScale="141" zoomScaleNormal="100" zoomScalePageLayoutView="120" workbookViewId="0">
      <selection activeCell="C18" sqref="C18"/>
    </sheetView>
  </sheetViews>
  <sheetFormatPr baseColWidth="10" defaultColWidth="10.83203125" defaultRowHeight="15" x14ac:dyDescent="0.2"/>
  <cols>
    <col min="1" max="1" width="4.1640625" style="7" bestFit="1" customWidth="1"/>
    <col min="2" max="2" width="35.83203125" style="7" customWidth="1"/>
    <col min="3" max="4" width="20.6640625" style="7" customWidth="1"/>
    <col min="5" max="7" width="10.83203125" style="7" customWidth="1"/>
    <col min="8" max="8" width="13.6640625" style="7" customWidth="1"/>
    <col min="9" max="9" width="10.83203125" style="7" hidden="1" customWidth="1"/>
    <col min="10" max="10" width="10.83203125" style="7" customWidth="1"/>
    <col min="11" max="11" width="11.6640625" style="7" customWidth="1"/>
    <col min="12" max="12" width="40.6640625" style="7" customWidth="1"/>
    <col min="13" max="16384" width="10.83203125" style="7"/>
  </cols>
  <sheetData>
    <row r="1" spans="1:12" ht="33" thickBot="1" x14ac:dyDescent="0.25">
      <c r="A1" s="100" t="s">
        <v>251</v>
      </c>
      <c r="B1" s="100" t="s">
        <v>12</v>
      </c>
      <c r="C1" s="100" t="s">
        <v>42</v>
      </c>
      <c r="D1" s="100" t="s">
        <v>12</v>
      </c>
      <c r="E1" s="100" t="s">
        <v>315</v>
      </c>
      <c r="F1" s="100" t="s">
        <v>469</v>
      </c>
      <c r="G1" s="100" t="s">
        <v>131</v>
      </c>
      <c r="H1" s="100" t="s">
        <v>316</v>
      </c>
      <c r="I1" s="100" t="s">
        <v>317</v>
      </c>
      <c r="J1" s="100" t="s">
        <v>314</v>
      </c>
      <c r="K1" s="100" t="s">
        <v>318</v>
      </c>
      <c r="L1" s="100" t="s">
        <v>245</v>
      </c>
    </row>
    <row r="2" spans="1:12" x14ac:dyDescent="0.2">
      <c r="A2" s="101">
        <v>1</v>
      </c>
      <c r="B2" s="102" t="s">
        <v>462</v>
      </c>
      <c r="C2" s="102" t="str">
        <f t="shared" ref="C2:C13" si="0">LEFT(B2,SEARCH(",",B2,1)-1)</f>
        <v/>
      </c>
      <c r="D2" s="102" t="str">
        <f t="shared" ref="D2:D13" si="1">RIGHT(B2,LEN(B2)-SEARCH(",",B2)-1)</f>
        <v>ABRAHAM</v>
      </c>
      <c r="E2" s="120">
        <v>21</v>
      </c>
      <c r="F2" s="121">
        <f>COUNTIF(HorarioGeneral!$D$4:$P$43,"*" &amp; $D2)</f>
        <v>18</v>
      </c>
      <c r="G2" s="120"/>
      <c r="H2" s="120">
        <v>1</v>
      </c>
      <c r="I2" s="120"/>
      <c r="J2" s="120"/>
      <c r="K2" s="120">
        <f t="shared" ref="K2:K13" si="2">E2-F2-H2+J2</f>
        <v>2</v>
      </c>
      <c r="L2" s="103" t="str">
        <f t="shared" ref="L2:L13" si="3">CONCATENATE(RIGHT(B2,LEN(B2)-SEARCH(",",B2)-1), " ",LEFT(B2,SEARCH(",",B2,1)-1))</f>
        <v xml:space="preserve">ABRAHAM </v>
      </c>
    </row>
    <row r="3" spans="1:12" x14ac:dyDescent="0.2">
      <c r="A3" s="57">
        <v>2</v>
      </c>
      <c r="B3" s="5" t="s">
        <v>464</v>
      </c>
      <c r="C3" s="5" t="str">
        <f t="shared" si="0"/>
        <v/>
      </c>
      <c r="D3" s="5" t="str">
        <f t="shared" si="1"/>
        <v>CARLOS</v>
      </c>
      <c r="E3" s="121">
        <v>22</v>
      </c>
      <c r="F3" s="121">
        <f>COUNTIF(HorarioGeneral!$D$4:$P$43,"*" &amp; $D3)</f>
        <v>18</v>
      </c>
      <c r="G3" s="121"/>
      <c r="H3" s="121">
        <v>4</v>
      </c>
      <c r="I3" s="121"/>
      <c r="J3" s="121"/>
      <c r="K3" s="300">
        <f t="shared" si="2"/>
        <v>0</v>
      </c>
      <c r="L3" s="96" t="str">
        <f t="shared" si="3"/>
        <v xml:space="preserve">CARLOS </v>
      </c>
    </row>
    <row r="4" spans="1:12" x14ac:dyDescent="0.2">
      <c r="A4" s="57">
        <v>3</v>
      </c>
      <c r="B4" s="5" t="s">
        <v>454</v>
      </c>
      <c r="C4" s="5" t="str">
        <f t="shared" si="0"/>
        <v/>
      </c>
      <c r="D4" s="5" t="str">
        <f t="shared" si="1"/>
        <v>GUSTAVO</v>
      </c>
      <c r="E4" s="121">
        <v>21</v>
      </c>
      <c r="F4" s="121">
        <f>COUNTIF(HorarioGeneral!$D$4:$P$43,"*" &amp; $D4)</f>
        <v>15</v>
      </c>
      <c r="G4" s="121"/>
      <c r="H4" s="121"/>
      <c r="I4" s="121"/>
      <c r="J4" s="121"/>
      <c r="K4" s="121">
        <f t="shared" si="2"/>
        <v>6</v>
      </c>
      <c r="L4" s="96" t="str">
        <f t="shared" si="3"/>
        <v xml:space="preserve">GUSTAVO </v>
      </c>
    </row>
    <row r="5" spans="1:12" x14ac:dyDescent="0.2">
      <c r="A5" s="57">
        <v>4</v>
      </c>
      <c r="B5" s="5" t="s">
        <v>459</v>
      </c>
      <c r="C5" s="5" t="str">
        <f t="shared" si="0"/>
        <v/>
      </c>
      <c r="D5" s="5" t="str">
        <f t="shared" si="1"/>
        <v>JOSE</v>
      </c>
      <c r="E5" s="121">
        <v>16</v>
      </c>
      <c r="F5" s="121">
        <f>COUNTIF(HorarioGeneral!$D$4:$P$43,"*" &amp; $D5)</f>
        <v>12</v>
      </c>
      <c r="G5" s="121"/>
      <c r="H5" s="121">
        <v>4</v>
      </c>
      <c r="I5" s="121"/>
      <c r="J5" s="121"/>
      <c r="K5" s="121">
        <f t="shared" si="2"/>
        <v>0</v>
      </c>
      <c r="L5" s="96" t="str">
        <f t="shared" si="3"/>
        <v xml:space="preserve">JOSE </v>
      </c>
    </row>
    <row r="6" spans="1:12" x14ac:dyDescent="0.2">
      <c r="A6" s="57">
        <v>5</v>
      </c>
      <c r="B6" s="5" t="s">
        <v>460</v>
      </c>
      <c r="C6" s="5" t="str">
        <f t="shared" si="0"/>
        <v/>
      </c>
      <c r="D6" s="5" t="str">
        <f t="shared" si="1"/>
        <v>LORENA</v>
      </c>
      <c r="E6" s="121">
        <v>13</v>
      </c>
      <c r="F6" s="121">
        <f>COUNTIF(HorarioGeneral!$D$4:$P$43,"*" &amp; $D6)</f>
        <v>13</v>
      </c>
      <c r="G6" s="121"/>
      <c r="H6" s="121"/>
      <c r="I6" s="121"/>
      <c r="J6" s="121"/>
      <c r="K6" s="121">
        <f t="shared" si="2"/>
        <v>0</v>
      </c>
      <c r="L6" s="96" t="str">
        <f t="shared" si="3"/>
        <v xml:space="preserve">LORENA </v>
      </c>
    </row>
    <row r="7" spans="1:12" x14ac:dyDescent="0.2">
      <c r="A7" s="57">
        <v>6</v>
      </c>
      <c r="B7" s="5" t="s">
        <v>463</v>
      </c>
      <c r="C7" s="5" t="str">
        <f t="shared" si="0"/>
        <v/>
      </c>
      <c r="D7" s="5" t="str">
        <f t="shared" si="1"/>
        <v>MACEDONIO</v>
      </c>
      <c r="E7" s="121">
        <v>29</v>
      </c>
      <c r="F7" s="121">
        <f>COUNTIF(HorarioGeneral!$D$4:$P$43,"*" &amp; $D7)</f>
        <v>21</v>
      </c>
      <c r="G7" s="121"/>
      <c r="H7" s="121">
        <v>25</v>
      </c>
      <c r="I7" s="121"/>
      <c r="J7" s="121"/>
      <c r="K7" s="121">
        <f t="shared" si="2"/>
        <v>-17</v>
      </c>
      <c r="L7" s="96" t="str">
        <f t="shared" si="3"/>
        <v xml:space="preserve">MACEDONIO </v>
      </c>
    </row>
    <row r="8" spans="1:12" x14ac:dyDescent="0.2">
      <c r="A8" s="57">
        <v>7</v>
      </c>
      <c r="B8" s="5" t="s">
        <v>457</v>
      </c>
      <c r="C8" s="5" t="str">
        <f t="shared" si="0"/>
        <v/>
      </c>
      <c r="D8" s="5" t="str">
        <f t="shared" si="1"/>
        <v>MANUEL</v>
      </c>
      <c r="E8" s="121">
        <v>15</v>
      </c>
      <c r="F8" s="121">
        <f>COUNTIF(HorarioGeneral!$D$4:$P$43,"*" &amp; $D8)</f>
        <v>15</v>
      </c>
      <c r="G8" s="121"/>
      <c r="H8" s="121"/>
      <c r="I8" s="121"/>
      <c r="J8" s="121">
        <v>5</v>
      </c>
      <c r="K8" s="121">
        <f t="shared" si="2"/>
        <v>5</v>
      </c>
      <c r="L8" s="96" t="str">
        <f t="shared" si="3"/>
        <v xml:space="preserve">MANUEL </v>
      </c>
    </row>
    <row r="9" spans="1:12" x14ac:dyDescent="0.2">
      <c r="A9" s="57">
        <v>8</v>
      </c>
      <c r="B9" s="5" t="s">
        <v>455</v>
      </c>
      <c r="C9" s="5" t="str">
        <f t="shared" si="0"/>
        <v/>
      </c>
      <c r="D9" s="5" t="str">
        <f t="shared" si="1"/>
        <v>MELISSA</v>
      </c>
      <c r="E9" s="121">
        <v>16</v>
      </c>
      <c r="F9" s="121">
        <f>COUNTIF(HorarioGeneral!$D$4:$P$43,"*" &amp; $D9)</f>
        <v>10</v>
      </c>
      <c r="G9" s="121"/>
      <c r="H9" s="121">
        <v>2</v>
      </c>
      <c r="I9" s="121"/>
      <c r="J9" s="121"/>
      <c r="K9" s="121">
        <f t="shared" si="2"/>
        <v>4</v>
      </c>
      <c r="L9" s="96" t="str">
        <f t="shared" si="3"/>
        <v xml:space="preserve">MELISSA </v>
      </c>
    </row>
    <row r="10" spans="1:12" x14ac:dyDescent="0.2">
      <c r="A10" s="57">
        <v>9</v>
      </c>
      <c r="B10" s="5" t="s">
        <v>461</v>
      </c>
      <c r="C10" s="5" t="str">
        <f t="shared" si="0"/>
        <v/>
      </c>
      <c r="D10" s="5" t="str">
        <f t="shared" si="1"/>
        <v>PATRICIA</v>
      </c>
      <c r="E10" s="121">
        <v>10</v>
      </c>
      <c r="F10" s="121">
        <f>COUNTIF(HorarioGeneral!$D$4:$P$43,"*" &amp; $D10)</f>
        <v>10</v>
      </c>
      <c r="G10" s="121"/>
      <c r="H10" s="121"/>
      <c r="I10" s="121"/>
      <c r="J10" s="121"/>
      <c r="K10" s="121">
        <f t="shared" si="2"/>
        <v>0</v>
      </c>
      <c r="L10" s="96" t="str">
        <f t="shared" si="3"/>
        <v xml:space="preserve">PATRICIA </v>
      </c>
    </row>
    <row r="11" spans="1:12" x14ac:dyDescent="0.2">
      <c r="A11" s="57">
        <v>10</v>
      </c>
      <c r="B11" s="5" t="s">
        <v>458</v>
      </c>
      <c r="C11" s="5" t="str">
        <f t="shared" si="0"/>
        <v/>
      </c>
      <c r="D11" s="5" t="str">
        <f t="shared" si="1"/>
        <v>RAUL</v>
      </c>
      <c r="E11" s="121">
        <v>20</v>
      </c>
      <c r="F11" s="121">
        <f>COUNTIF(HorarioGeneral!$D$4:$P$43,"*" &amp; $D11)</f>
        <v>16</v>
      </c>
      <c r="G11" s="121"/>
      <c r="H11" s="121">
        <v>4</v>
      </c>
      <c r="I11" s="121"/>
      <c r="J11" s="121"/>
      <c r="K11" s="121">
        <f t="shared" si="2"/>
        <v>0</v>
      </c>
      <c r="L11" s="96" t="str">
        <f t="shared" si="3"/>
        <v xml:space="preserve">RAUL </v>
      </c>
    </row>
    <row r="12" spans="1:12" x14ac:dyDescent="0.2">
      <c r="A12" s="57">
        <v>11</v>
      </c>
      <c r="B12" s="5" t="s">
        <v>465</v>
      </c>
      <c r="C12" s="5" t="str">
        <f t="shared" si="0"/>
        <v/>
      </c>
      <c r="D12" s="5" t="str">
        <f t="shared" si="1"/>
        <v>SANDRA</v>
      </c>
      <c r="E12" s="121">
        <v>5</v>
      </c>
      <c r="F12" s="121">
        <f>COUNTIF(HorarioGeneral!$D$4:$P$43,"*" &amp; $D12)</f>
        <v>5</v>
      </c>
      <c r="G12" s="121"/>
      <c r="H12" s="121"/>
      <c r="I12" s="121"/>
      <c r="J12" s="121"/>
      <c r="K12" s="121">
        <f t="shared" si="2"/>
        <v>0</v>
      </c>
      <c r="L12" s="96" t="str">
        <f t="shared" si="3"/>
        <v xml:space="preserve">SANDRA </v>
      </c>
    </row>
    <row r="13" spans="1:12" x14ac:dyDescent="0.2">
      <c r="A13" s="57">
        <v>12</v>
      </c>
      <c r="B13" s="5" t="s">
        <v>456</v>
      </c>
      <c r="C13" s="5" t="str">
        <f t="shared" si="0"/>
        <v/>
      </c>
      <c r="D13" s="5" t="str">
        <f t="shared" si="1"/>
        <v>XITLALI</v>
      </c>
      <c r="E13" s="121">
        <v>7</v>
      </c>
      <c r="F13" s="121">
        <f>COUNTIF(HorarioGeneral!$D$4:$P$43,"*" &amp; $D13)</f>
        <v>7</v>
      </c>
      <c r="G13" s="121"/>
      <c r="H13" s="121"/>
      <c r="I13" s="121"/>
      <c r="J13" s="121"/>
      <c r="K13" s="121">
        <f t="shared" si="2"/>
        <v>0</v>
      </c>
      <c r="L13" s="96" t="str">
        <f t="shared" si="3"/>
        <v xml:space="preserve">XITLALI </v>
      </c>
    </row>
    <row r="14" spans="1:12" x14ac:dyDescent="0.2">
      <c r="A14" s="57">
        <v>13</v>
      </c>
      <c r="B14" s="5"/>
      <c r="C14" s="5"/>
      <c r="D14" s="5"/>
      <c r="E14" s="121"/>
      <c r="F14" s="121"/>
      <c r="G14" s="121"/>
      <c r="H14" s="121"/>
      <c r="I14" s="121"/>
      <c r="J14" s="121"/>
      <c r="K14" s="121"/>
      <c r="L14" s="96"/>
    </row>
    <row r="15" spans="1:12" x14ac:dyDescent="0.2">
      <c r="A15" s="57">
        <v>14</v>
      </c>
      <c r="B15" s="5"/>
      <c r="C15" s="5"/>
      <c r="D15" s="5"/>
      <c r="E15" s="121"/>
      <c r="F15" s="121"/>
      <c r="G15" s="121"/>
      <c r="H15" s="121"/>
      <c r="I15" s="121"/>
      <c r="J15" s="121"/>
      <c r="K15" s="121"/>
      <c r="L15" s="96"/>
    </row>
    <row r="16" spans="1:12" x14ac:dyDescent="0.2">
      <c r="A16" s="57">
        <v>15</v>
      </c>
      <c r="B16" s="5"/>
      <c r="C16" s="5"/>
      <c r="D16" s="5"/>
      <c r="E16" s="121"/>
      <c r="F16" s="121"/>
      <c r="G16" s="121"/>
      <c r="H16" s="121"/>
      <c r="I16" s="121"/>
      <c r="J16" s="121"/>
      <c r="K16" s="121"/>
      <c r="L16" s="96"/>
    </row>
    <row r="17" spans="1:12" x14ac:dyDescent="0.2">
      <c r="A17" s="57">
        <v>16</v>
      </c>
      <c r="B17" s="5"/>
      <c r="C17" s="5"/>
      <c r="D17" s="5"/>
      <c r="E17" s="121"/>
      <c r="F17" s="121"/>
      <c r="G17" s="121"/>
      <c r="H17" s="121"/>
      <c r="I17" s="121"/>
      <c r="J17" s="121"/>
      <c r="K17" s="121"/>
      <c r="L17" s="96"/>
    </row>
    <row r="18" spans="1:12" x14ac:dyDescent="0.2">
      <c r="A18" s="57">
        <v>17</v>
      </c>
      <c r="B18" s="5"/>
      <c r="C18" s="5"/>
      <c r="D18" s="5"/>
      <c r="E18" s="121"/>
      <c r="F18" s="121"/>
      <c r="G18" s="121"/>
      <c r="H18" s="121"/>
      <c r="I18" s="121"/>
      <c r="J18" s="121"/>
      <c r="K18" s="121"/>
      <c r="L18" s="96"/>
    </row>
    <row r="19" spans="1:12" x14ac:dyDescent="0.2">
      <c r="A19" s="57">
        <v>18</v>
      </c>
      <c r="B19" s="5"/>
      <c r="C19" s="5"/>
      <c r="D19" s="5"/>
      <c r="E19" s="121"/>
      <c r="F19" s="121"/>
      <c r="G19" s="121"/>
      <c r="H19" s="121"/>
      <c r="I19" s="121"/>
      <c r="J19" s="121"/>
      <c r="K19" s="121"/>
      <c r="L19" s="96"/>
    </row>
    <row r="20" spans="1:12" x14ac:dyDescent="0.2">
      <c r="A20" s="57">
        <v>19</v>
      </c>
      <c r="B20" s="5"/>
      <c r="C20" s="5"/>
      <c r="D20" s="5"/>
      <c r="E20" s="121"/>
      <c r="F20" s="121"/>
      <c r="G20" s="121"/>
      <c r="H20" s="121"/>
      <c r="I20" s="121"/>
      <c r="J20" s="121"/>
      <c r="K20" s="121"/>
      <c r="L20" s="96"/>
    </row>
    <row r="21" spans="1:12" x14ac:dyDescent="0.2">
      <c r="A21" s="57">
        <v>20</v>
      </c>
      <c r="B21" s="5"/>
      <c r="C21" s="5"/>
      <c r="D21" s="5"/>
      <c r="E21" s="121"/>
      <c r="F21" s="121"/>
      <c r="G21" s="121"/>
      <c r="H21" s="121"/>
      <c r="I21" s="121"/>
      <c r="J21" s="121"/>
      <c r="K21" s="121"/>
      <c r="L21" s="96"/>
    </row>
    <row r="22" spans="1:12" x14ac:dyDescent="0.2">
      <c r="A22" s="57">
        <v>21</v>
      </c>
      <c r="B22" s="5"/>
      <c r="C22" s="5"/>
      <c r="D22" s="5"/>
      <c r="E22" s="121"/>
      <c r="F22" s="121"/>
      <c r="G22" s="121"/>
      <c r="H22" s="121"/>
      <c r="I22" s="121"/>
      <c r="J22" s="121"/>
      <c r="K22" s="121"/>
      <c r="L22" s="96"/>
    </row>
    <row r="23" spans="1:12" x14ac:dyDescent="0.2">
      <c r="A23" s="57">
        <v>22</v>
      </c>
      <c r="B23" s="5"/>
      <c r="C23" s="5"/>
      <c r="D23" s="5"/>
      <c r="E23" s="121"/>
      <c r="F23" s="121"/>
      <c r="G23" s="121"/>
      <c r="H23" s="121"/>
      <c r="I23" s="121"/>
      <c r="J23" s="121"/>
      <c r="K23" s="121"/>
      <c r="L23" s="96"/>
    </row>
    <row r="24" spans="1:12" x14ac:dyDescent="0.2">
      <c r="A24" s="57">
        <v>23</v>
      </c>
      <c r="B24" s="5"/>
      <c r="C24" s="5"/>
      <c r="D24" s="5"/>
      <c r="E24" s="121"/>
      <c r="F24" s="121"/>
      <c r="G24" s="121"/>
      <c r="H24" s="121"/>
      <c r="I24" s="121"/>
      <c r="J24" s="121"/>
      <c r="K24" s="121"/>
      <c r="L24" s="96"/>
    </row>
    <row r="25" spans="1:12" x14ac:dyDescent="0.2">
      <c r="A25" s="57">
        <v>24</v>
      </c>
      <c r="B25" s="5"/>
      <c r="C25" s="5"/>
      <c r="D25" s="5"/>
      <c r="E25" s="121"/>
      <c r="F25" s="121"/>
      <c r="G25" s="121"/>
      <c r="H25" s="121"/>
      <c r="I25" s="121"/>
      <c r="J25" s="121"/>
      <c r="K25" s="121"/>
      <c r="L25" s="96"/>
    </row>
    <row r="26" spans="1:12" x14ac:dyDescent="0.2">
      <c r="A26" s="57">
        <v>25</v>
      </c>
      <c r="B26" s="5"/>
      <c r="C26" s="5"/>
      <c r="D26" s="5"/>
      <c r="E26" s="121"/>
      <c r="F26" s="121"/>
      <c r="G26" s="121"/>
      <c r="H26" s="121"/>
      <c r="I26" s="121"/>
      <c r="J26" s="121"/>
      <c r="K26" s="121"/>
      <c r="L26" s="96"/>
    </row>
    <row r="27" spans="1:12" x14ac:dyDescent="0.2">
      <c r="A27" s="57">
        <v>26</v>
      </c>
      <c r="B27" s="5"/>
      <c r="C27" s="5"/>
      <c r="D27" s="5"/>
      <c r="E27" s="121"/>
      <c r="F27" s="121"/>
      <c r="G27" s="121"/>
      <c r="H27" s="121"/>
      <c r="I27" s="121"/>
      <c r="J27" s="121"/>
      <c r="K27" s="121"/>
      <c r="L27" s="96"/>
    </row>
    <row r="28" spans="1:12" x14ac:dyDescent="0.2">
      <c r="A28" s="57">
        <v>27</v>
      </c>
      <c r="B28" s="5"/>
      <c r="C28" s="5"/>
      <c r="D28" s="5"/>
      <c r="E28" s="121"/>
      <c r="F28" s="121"/>
      <c r="G28" s="121"/>
      <c r="H28" s="121"/>
      <c r="I28" s="121"/>
      <c r="J28" s="121"/>
      <c r="K28" s="121"/>
      <c r="L28" s="96"/>
    </row>
    <row r="29" spans="1:12" x14ac:dyDescent="0.2">
      <c r="A29" s="57">
        <v>28</v>
      </c>
      <c r="B29" s="5"/>
      <c r="C29" s="5"/>
      <c r="D29" s="5"/>
      <c r="E29" s="121"/>
      <c r="F29" s="121"/>
      <c r="G29" s="121"/>
      <c r="H29" s="121"/>
      <c r="I29" s="121"/>
      <c r="J29" s="121"/>
      <c r="K29" s="121"/>
      <c r="L29" s="96"/>
    </row>
    <row r="30" spans="1:12" x14ac:dyDescent="0.2">
      <c r="A30" s="57">
        <v>29</v>
      </c>
      <c r="B30" s="5"/>
      <c r="C30" s="5"/>
      <c r="D30" s="5"/>
      <c r="E30" s="121"/>
      <c r="F30" s="121"/>
      <c r="G30" s="121"/>
      <c r="H30" s="121"/>
      <c r="I30" s="121"/>
      <c r="J30" s="121"/>
      <c r="K30" s="121"/>
      <c r="L30" s="96"/>
    </row>
    <row r="31" spans="1:12" x14ac:dyDescent="0.2">
      <c r="A31" s="57">
        <v>30</v>
      </c>
      <c r="B31" s="5"/>
      <c r="C31" s="5"/>
      <c r="D31" s="5"/>
      <c r="E31" s="121"/>
      <c r="F31" s="121"/>
      <c r="G31" s="121"/>
      <c r="H31" s="121"/>
      <c r="I31" s="121"/>
      <c r="J31" s="121"/>
      <c r="K31" s="121"/>
      <c r="L31" s="96"/>
    </row>
    <row r="32" spans="1:12" x14ac:dyDescent="0.2">
      <c r="A32" s="57">
        <v>31</v>
      </c>
      <c r="B32" s="5"/>
      <c r="C32" s="5"/>
      <c r="D32" s="5"/>
      <c r="E32" s="121"/>
      <c r="F32" s="121"/>
      <c r="G32" s="121"/>
      <c r="H32" s="121"/>
      <c r="I32" s="121"/>
      <c r="J32" s="121"/>
      <c r="K32" s="121"/>
      <c r="L32" s="96"/>
    </row>
    <row r="33" spans="1:12" x14ac:dyDescent="0.2">
      <c r="A33" s="57">
        <v>32</v>
      </c>
      <c r="B33" s="5"/>
      <c r="C33" s="5"/>
      <c r="D33" s="5"/>
      <c r="E33" s="121"/>
      <c r="F33" s="121"/>
      <c r="G33" s="121"/>
      <c r="H33" s="121"/>
      <c r="I33" s="121"/>
      <c r="J33" s="121"/>
      <c r="K33" s="121"/>
      <c r="L33" s="96"/>
    </row>
    <row r="34" spans="1:12" x14ac:dyDescent="0.2">
      <c r="A34" s="57">
        <v>33</v>
      </c>
      <c r="B34" s="5"/>
      <c r="C34" s="5"/>
      <c r="D34" s="5"/>
      <c r="E34" s="121"/>
      <c r="F34" s="121"/>
      <c r="G34" s="121"/>
      <c r="H34" s="121"/>
      <c r="I34" s="121"/>
      <c r="J34" s="121"/>
      <c r="K34" s="121"/>
      <c r="L34" s="96"/>
    </row>
    <row r="35" spans="1:12" x14ac:dyDescent="0.2">
      <c r="A35" s="57">
        <v>34</v>
      </c>
      <c r="B35" s="5"/>
      <c r="C35" s="5"/>
      <c r="D35" s="5"/>
      <c r="E35" s="121"/>
      <c r="F35" s="121"/>
      <c r="G35" s="121"/>
      <c r="H35" s="121"/>
      <c r="I35" s="121"/>
      <c r="J35" s="121"/>
      <c r="K35" s="121"/>
      <c r="L35" s="96"/>
    </row>
    <row r="36" spans="1:12" x14ac:dyDescent="0.2">
      <c r="A36" s="57">
        <v>35</v>
      </c>
      <c r="B36" s="5"/>
      <c r="C36" s="5"/>
      <c r="D36" s="5"/>
      <c r="E36" s="121"/>
      <c r="F36" s="121"/>
      <c r="G36" s="121"/>
      <c r="H36" s="121"/>
      <c r="I36" s="121"/>
      <c r="J36" s="121"/>
      <c r="K36" s="121"/>
      <c r="L36" s="96"/>
    </row>
    <row r="37" spans="1:12" x14ac:dyDescent="0.2">
      <c r="A37" s="57">
        <v>36</v>
      </c>
      <c r="B37" s="5"/>
      <c r="C37" s="5"/>
      <c r="D37" s="5"/>
      <c r="E37" s="121"/>
      <c r="F37" s="121"/>
      <c r="G37" s="121"/>
      <c r="H37" s="121"/>
      <c r="I37" s="121"/>
      <c r="J37" s="121"/>
      <c r="K37" s="121"/>
      <c r="L37" s="96"/>
    </row>
    <row r="38" spans="1:12" x14ac:dyDescent="0.2">
      <c r="A38" s="57">
        <v>37</v>
      </c>
      <c r="B38" s="5"/>
      <c r="C38" s="5"/>
      <c r="D38" s="5"/>
      <c r="E38" s="121"/>
      <c r="F38" s="121"/>
      <c r="G38" s="121"/>
      <c r="H38" s="121"/>
      <c r="I38" s="121"/>
      <c r="J38" s="121"/>
      <c r="K38" s="121"/>
      <c r="L38" s="96"/>
    </row>
    <row r="39" spans="1:12" x14ac:dyDescent="0.2">
      <c r="A39" s="57">
        <v>38</v>
      </c>
      <c r="B39" s="5"/>
      <c r="C39" s="5"/>
      <c r="D39" s="5"/>
      <c r="E39" s="121"/>
      <c r="F39" s="121"/>
      <c r="G39" s="121"/>
      <c r="H39" s="121"/>
      <c r="I39" s="121"/>
      <c r="J39" s="121"/>
      <c r="K39" s="121"/>
      <c r="L39" s="96"/>
    </row>
    <row r="40" spans="1:12" x14ac:dyDescent="0.2">
      <c r="A40" s="57">
        <v>39</v>
      </c>
      <c r="B40" s="5"/>
      <c r="C40" s="5"/>
      <c r="D40" s="5"/>
      <c r="E40" s="121"/>
      <c r="F40" s="121"/>
      <c r="G40" s="121"/>
      <c r="H40" s="121"/>
      <c r="I40" s="121"/>
      <c r="J40" s="121"/>
      <c r="K40" s="121"/>
      <c r="L40" s="96"/>
    </row>
    <row r="41" spans="1:12" x14ac:dyDescent="0.2">
      <c r="A41" s="57">
        <v>40</v>
      </c>
      <c r="B41" s="5"/>
      <c r="C41" s="5"/>
      <c r="D41" s="5"/>
      <c r="E41" s="121"/>
      <c r="F41" s="121"/>
      <c r="G41" s="121"/>
      <c r="H41" s="121"/>
      <c r="I41" s="121"/>
      <c r="J41" s="121"/>
      <c r="K41" s="121"/>
      <c r="L41" s="96"/>
    </row>
    <row r="42" spans="1:12" x14ac:dyDescent="0.2">
      <c r="A42" s="57">
        <v>41</v>
      </c>
      <c r="B42" s="5"/>
      <c r="C42" s="5"/>
      <c r="D42" s="5"/>
      <c r="E42" s="121"/>
      <c r="F42" s="121"/>
      <c r="G42" s="121"/>
      <c r="H42" s="121"/>
      <c r="I42" s="121"/>
      <c r="J42" s="121"/>
      <c r="K42" s="121"/>
      <c r="L42" s="96"/>
    </row>
    <row r="43" spans="1:12" x14ac:dyDescent="0.2">
      <c r="A43" s="57">
        <v>42</v>
      </c>
      <c r="B43" s="5"/>
      <c r="C43" s="5"/>
      <c r="D43" s="5"/>
      <c r="E43" s="121"/>
      <c r="F43" s="121"/>
      <c r="G43" s="121"/>
      <c r="H43" s="121"/>
      <c r="I43" s="121"/>
      <c r="J43" s="121"/>
      <c r="K43" s="121"/>
      <c r="L43" s="96"/>
    </row>
    <row r="44" spans="1:12" x14ac:dyDescent="0.2">
      <c r="A44" s="57">
        <v>43</v>
      </c>
      <c r="B44" s="5"/>
      <c r="C44" s="5"/>
      <c r="D44" s="5"/>
      <c r="E44" s="121"/>
      <c r="F44" s="121"/>
      <c r="G44" s="121"/>
      <c r="H44" s="121"/>
      <c r="I44" s="121"/>
      <c r="J44" s="121"/>
      <c r="K44" s="121"/>
      <c r="L44" s="96"/>
    </row>
    <row r="45" spans="1:12" x14ac:dyDescent="0.2">
      <c r="A45" s="57">
        <v>44</v>
      </c>
      <c r="B45" s="5"/>
      <c r="C45" s="5"/>
      <c r="D45" s="5"/>
      <c r="E45" s="121"/>
      <c r="F45" s="121"/>
      <c r="G45" s="121"/>
      <c r="H45" s="121"/>
      <c r="I45" s="121"/>
      <c r="J45" s="121"/>
      <c r="K45" s="121"/>
      <c r="L45" s="96"/>
    </row>
    <row r="46" spans="1:12" x14ac:dyDescent="0.2">
      <c r="A46" s="57">
        <v>45</v>
      </c>
      <c r="B46" s="5"/>
      <c r="C46" s="5"/>
      <c r="D46" s="5"/>
      <c r="E46" s="121"/>
      <c r="F46" s="121"/>
      <c r="G46" s="121"/>
      <c r="H46" s="121"/>
      <c r="I46" s="121"/>
      <c r="J46" s="121"/>
      <c r="K46" s="121"/>
      <c r="L46" s="96"/>
    </row>
    <row r="47" spans="1:12" x14ac:dyDescent="0.2">
      <c r="A47" s="57">
        <v>46</v>
      </c>
      <c r="B47" s="5"/>
      <c r="C47" s="5"/>
      <c r="D47" s="5"/>
      <c r="E47" s="121"/>
      <c r="F47" s="121"/>
      <c r="G47" s="121"/>
      <c r="H47" s="121"/>
      <c r="I47" s="121"/>
      <c r="J47" s="121"/>
      <c r="K47" s="121"/>
      <c r="L47" s="96"/>
    </row>
    <row r="48" spans="1:12" x14ac:dyDescent="0.2">
      <c r="A48" s="57">
        <v>47</v>
      </c>
      <c r="B48" s="5"/>
      <c r="C48" s="5"/>
      <c r="D48" s="5"/>
      <c r="E48" s="121"/>
      <c r="F48" s="121"/>
      <c r="G48" s="121"/>
      <c r="H48" s="121"/>
      <c r="I48" s="121"/>
      <c r="J48" s="121"/>
      <c r="K48" s="121"/>
      <c r="L48" s="96"/>
    </row>
    <row r="49" spans="1:12" x14ac:dyDescent="0.2">
      <c r="A49" s="57">
        <v>48</v>
      </c>
      <c r="B49" s="5"/>
      <c r="C49" s="5"/>
      <c r="D49" s="5"/>
      <c r="E49" s="121"/>
      <c r="F49" s="121"/>
      <c r="G49" s="121"/>
      <c r="H49" s="121"/>
      <c r="I49" s="121"/>
      <c r="J49" s="121"/>
      <c r="K49" s="121"/>
      <c r="L49" s="96"/>
    </row>
    <row r="50" spans="1:12" x14ac:dyDescent="0.2">
      <c r="A50" s="57">
        <v>49</v>
      </c>
      <c r="B50" s="5"/>
      <c r="C50" s="5"/>
      <c r="D50" s="5"/>
      <c r="E50" s="121"/>
      <c r="F50" s="121"/>
      <c r="G50" s="121"/>
      <c r="H50" s="121"/>
      <c r="I50" s="121"/>
      <c r="J50" s="121"/>
      <c r="K50" s="121"/>
      <c r="L50" s="96"/>
    </row>
    <row r="51" spans="1:12" ht="16" thickBot="1" x14ac:dyDescent="0.25">
      <c r="A51" s="58">
        <v>50</v>
      </c>
      <c r="B51" s="59"/>
      <c r="C51" s="59"/>
      <c r="D51" s="59"/>
      <c r="E51" s="122"/>
      <c r="F51" s="122"/>
      <c r="G51" s="122"/>
      <c r="H51" s="122"/>
      <c r="I51" s="122"/>
      <c r="J51" s="122"/>
      <c r="K51" s="122"/>
      <c r="L51" s="97"/>
    </row>
    <row r="53" spans="1:12" x14ac:dyDescent="0.2">
      <c r="D53" s="7" t="s">
        <v>133</v>
      </c>
      <c r="E53" s="7">
        <v>11</v>
      </c>
    </row>
    <row r="54" spans="1:12" x14ac:dyDescent="0.2">
      <c r="D54" s="7" t="s">
        <v>319</v>
      </c>
      <c r="E54" s="7">
        <v>35</v>
      </c>
    </row>
    <row r="55" spans="1:12" x14ac:dyDescent="0.2">
      <c r="D55" s="7" t="s">
        <v>320</v>
      </c>
      <c r="E55" s="7">
        <f>SUM(E2:E51)</f>
        <v>195</v>
      </c>
    </row>
    <row r="56" spans="1:12" x14ac:dyDescent="0.2">
      <c r="D56" s="123" t="s">
        <v>321</v>
      </c>
      <c r="E56" s="7">
        <f>E53*E54-E55</f>
        <v>190</v>
      </c>
    </row>
  </sheetData>
  <sortState xmlns:xlrd2="http://schemas.microsoft.com/office/spreadsheetml/2017/richdata2" ref="B2:D13">
    <sortCondition ref="D2:D13"/>
  </sortState>
  <conditionalFormatting sqref="K2:K24">
    <cfRule type="cellIs" dxfId="14" priority="2" operator="between">
      <formula>1</formula>
      <formula>40</formula>
    </cfRule>
  </conditionalFormatting>
  <conditionalFormatting sqref="K2:K13">
    <cfRule type="cellIs" dxfId="13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1:DC43"/>
  <sheetViews>
    <sheetView topLeftCell="B1" zoomScale="70" zoomScaleNormal="70" workbookViewId="0">
      <pane xSplit="4" ySplit="4" topLeftCell="F5" activePane="bottomRight" state="frozen"/>
      <selection activeCell="B1" sqref="B1"/>
      <selection pane="topRight" activeCell="E1" sqref="E1"/>
      <selection pane="bottomLeft" activeCell="B5" sqref="B5"/>
      <selection pane="bottomRight" activeCell="B1" sqref="B1:B4"/>
    </sheetView>
  </sheetViews>
  <sheetFormatPr baseColWidth="10" defaultColWidth="10.83203125" defaultRowHeight="16" x14ac:dyDescent="0.2"/>
  <cols>
    <col min="1" max="1" width="10.83203125" style="124"/>
    <col min="2" max="2" width="35.83203125" style="124" customWidth="1"/>
    <col min="3" max="4" width="5.83203125" style="124" customWidth="1"/>
    <col min="5" max="5" width="8.83203125" style="124" customWidth="1"/>
    <col min="6" max="107" width="5" style="124" customWidth="1"/>
    <col min="108" max="16384" width="10.83203125" style="124"/>
  </cols>
  <sheetData>
    <row r="1" spans="1:107" ht="20" customHeight="1" x14ac:dyDescent="0.2">
      <c r="A1" s="423" t="s">
        <v>251</v>
      </c>
      <c r="B1" s="423" t="s">
        <v>322</v>
      </c>
      <c r="C1" s="424" t="s">
        <v>323</v>
      </c>
      <c r="D1" s="435" t="s">
        <v>376</v>
      </c>
      <c r="E1" s="425" t="s">
        <v>324</v>
      </c>
      <c r="F1" s="428" t="s">
        <v>325</v>
      </c>
      <c r="G1" s="429"/>
      <c r="H1" s="429"/>
      <c r="I1" s="429"/>
      <c r="J1" s="429"/>
      <c r="K1" s="429"/>
      <c r="L1" s="429"/>
      <c r="M1" s="429"/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  <c r="AE1" s="429"/>
      <c r="AF1" s="429"/>
      <c r="AG1" s="429"/>
      <c r="AH1" s="429"/>
      <c r="AI1" s="430"/>
      <c r="AJ1" s="436" t="s">
        <v>326</v>
      </c>
      <c r="AK1" s="437"/>
      <c r="AL1" s="437"/>
      <c r="AM1" s="437"/>
      <c r="AN1" s="437"/>
      <c r="AO1" s="437"/>
      <c r="AP1" s="437"/>
      <c r="AQ1" s="437"/>
      <c r="AR1" s="437"/>
      <c r="AS1" s="437"/>
      <c r="AT1" s="437"/>
      <c r="AU1" s="437"/>
      <c r="AV1" s="437"/>
      <c r="AW1" s="437"/>
      <c r="AX1" s="437"/>
      <c r="AY1" s="437"/>
      <c r="AZ1" s="437"/>
      <c r="BA1" s="437"/>
      <c r="BB1" s="437"/>
      <c r="BC1" s="437"/>
      <c r="BD1" s="437"/>
      <c r="BE1" s="437"/>
      <c r="BF1" s="437"/>
      <c r="BG1" s="437"/>
      <c r="BH1" s="437"/>
      <c r="BI1" s="437"/>
      <c r="BJ1" s="437"/>
      <c r="BK1" s="437"/>
      <c r="BL1" s="437"/>
      <c r="BM1" s="437"/>
      <c r="BN1" s="437"/>
      <c r="BO1" s="437"/>
      <c r="BP1" s="437"/>
      <c r="BQ1" s="437"/>
      <c r="BR1" s="437"/>
      <c r="BS1" s="438"/>
      <c r="BT1" s="436" t="s">
        <v>327</v>
      </c>
      <c r="BU1" s="437"/>
      <c r="BV1" s="437"/>
      <c r="BW1" s="437"/>
      <c r="BX1" s="437"/>
      <c r="BY1" s="437"/>
      <c r="BZ1" s="437"/>
      <c r="CA1" s="437"/>
      <c r="CB1" s="437"/>
      <c r="CC1" s="437"/>
      <c r="CD1" s="437"/>
      <c r="CE1" s="437"/>
      <c r="CF1" s="437"/>
      <c r="CG1" s="437"/>
      <c r="CH1" s="437"/>
      <c r="CI1" s="437"/>
      <c r="CJ1" s="437"/>
      <c r="CK1" s="437"/>
      <c r="CL1" s="437"/>
      <c r="CM1" s="437"/>
      <c r="CN1" s="437"/>
      <c r="CO1" s="437"/>
      <c r="CP1" s="437"/>
      <c r="CQ1" s="437"/>
      <c r="CR1" s="437"/>
      <c r="CS1" s="437"/>
      <c r="CT1" s="437"/>
      <c r="CU1" s="437"/>
      <c r="CV1" s="437"/>
      <c r="CW1" s="437"/>
      <c r="CX1" s="437"/>
      <c r="CY1" s="437"/>
      <c r="CZ1" s="437"/>
      <c r="DA1" s="437"/>
      <c r="DB1" s="437"/>
      <c r="DC1" s="438"/>
    </row>
    <row r="2" spans="1:107" ht="20" customHeight="1" x14ac:dyDescent="0.2">
      <c r="A2" s="423"/>
      <c r="B2" s="423"/>
      <c r="C2" s="424"/>
      <c r="D2" s="424"/>
      <c r="E2" s="426"/>
      <c r="F2" s="439" t="s">
        <v>134</v>
      </c>
      <c r="G2" s="440"/>
      <c r="H2" s="440"/>
      <c r="I2" s="440"/>
      <c r="J2" s="440"/>
      <c r="K2" s="440"/>
      <c r="L2" s="440"/>
      <c r="M2" s="440"/>
      <c r="N2" s="440"/>
      <c r="O2" s="440"/>
      <c r="P2" s="440" t="s">
        <v>135</v>
      </c>
      <c r="Q2" s="440"/>
      <c r="R2" s="440"/>
      <c r="S2" s="440"/>
      <c r="T2" s="440"/>
      <c r="U2" s="440"/>
      <c r="V2" s="440"/>
      <c r="W2" s="440"/>
      <c r="X2" s="440"/>
      <c r="Y2" s="440"/>
      <c r="Z2" s="441" t="s">
        <v>328</v>
      </c>
      <c r="AA2" s="440"/>
      <c r="AB2" s="440"/>
      <c r="AC2" s="440"/>
      <c r="AD2" s="440"/>
      <c r="AE2" s="440"/>
      <c r="AF2" s="440"/>
      <c r="AG2" s="440"/>
      <c r="AH2" s="440"/>
      <c r="AI2" s="442"/>
      <c r="AJ2" s="443" t="s">
        <v>134</v>
      </c>
      <c r="AK2" s="432"/>
      <c r="AL2" s="432"/>
      <c r="AM2" s="432"/>
      <c r="AN2" s="432"/>
      <c r="AO2" s="432"/>
      <c r="AP2" s="432"/>
      <c r="AQ2" s="432"/>
      <c r="AR2" s="433"/>
      <c r="AS2" s="431" t="s">
        <v>135</v>
      </c>
      <c r="AT2" s="432"/>
      <c r="AU2" s="432"/>
      <c r="AV2" s="432"/>
      <c r="AW2" s="432"/>
      <c r="AX2" s="432"/>
      <c r="AY2" s="432"/>
      <c r="AZ2" s="432"/>
      <c r="BA2" s="433"/>
      <c r="BB2" s="431" t="s">
        <v>328</v>
      </c>
      <c r="BC2" s="432"/>
      <c r="BD2" s="432"/>
      <c r="BE2" s="432"/>
      <c r="BF2" s="432"/>
      <c r="BG2" s="432"/>
      <c r="BH2" s="432"/>
      <c r="BI2" s="432"/>
      <c r="BJ2" s="433"/>
      <c r="BK2" s="444" t="s">
        <v>329</v>
      </c>
      <c r="BL2" s="444"/>
      <c r="BM2" s="444"/>
      <c r="BN2" s="444"/>
      <c r="BO2" s="444"/>
      <c r="BP2" s="444"/>
      <c r="BQ2" s="444"/>
      <c r="BR2" s="444"/>
      <c r="BS2" s="445"/>
      <c r="BT2" s="443" t="s">
        <v>134</v>
      </c>
      <c r="BU2" s="432"/>
      <c r="BV2" s="432"/>
      <c r="BW2" s="432"/>
      <c r="BX2" s="432"/>
      <c r="BY2" s="432"/>
      <c r="BZ2" s="432"/>
      <c r="CA2" s="432"/>
      <c r="CB2" s="433"/>
      <c r="CC2" s="431" t="s">
        <v>135</v>
      </c>
      <c r="CD2" s="432"/>
      <c r="CE2" s="432"/>
      <c r="CF2" s="432"/>
      <c r="CG2" s="432"/>
      <c r="CH2" s="432"/>
      <c r="CI2" s="432"/>
      <c r="CJ2" s="432"/>
      <c r="CK2" s="433"/>
      <c r="CL2" s="431" t="s">
        <v>328</v>
      </c>
      <c r="CM2" s="432"/>
      <c r="CN2" s="432"/>
      <c r="CO2" s="432"/>
      <c r="CP2" s="432"/>
      <c r="CQ2" s="432"/>
      <c r="CR2" s="432"/>
      <c r="CS2" s="432"/>
      <c r="CT2" s="433"/>
      <c r="CU2" s="432" t="s">
        <v>329</v>
      </c>
      <c r="CV2" s="432"/>
      <c r="CW2" s="432"/>
      <c r="CX2" s="432"/>
      <c r="CY2" s="432"/>
      <c r="CZ2" s="432"/>
      <c r="DA2" s="432"/>
      <c r="DB2" s="432"/>
      <c r="DC2" s="434"/>
    </row>
    <row r="3" spans="1:107" ht="20" customHeight="1" x14ac:dyDescent="0.2">
      <c r="A3" s="423"/>
      <c r="B3" s="423"/>
      <c r="C3" s="424"/>
      <c r="D3" s="424"/>
      <c r="E3" s="426"/>
      <c r="F3" s="125" t="s">
        <v>330</v>
      </c>
      <c r="G3" s="126" t="s">
        <v>331</v>
      </c>
      <c r="H3" s="126" t="s">
        <v>332</v>
      </c>
      <c r="I3" s="126" t="s">
        <v>333</v>
      </c>
      <c r="J3" s="126" t="s">
        <v>150</v>
      </c>
      <c r="K3" s="126" t="s">
        <v>334</v>
      </c>
      <c r="L3" s="126" t="s">
        <v>335</v>
      </c>
      <c r="M3" s="126" t="s">
        <v>144</v>
      </c>
      <c r="N3" s="126" t="s">
        <v>336</v>
      </c>
      <c r="O3" s="127" t="s">
        <v>337</v>
      </c>
      <c r="P3" s="128" t="s">
        <v>330</v>
      </c>
      <c r="Q3" s="129" t="s">
        <v>331</v>
      </c>
      <c r="R3" s="129" t="s">
        <v>332</v>
      </c>
      <c r="S3" s="129" t="s">
        <v>333</v>
      </c>
      <c r="T3" s="129" t="s">
        <v>150</v>
      </c>
      <c r="U3" s="129" t="s">
        <v>334</v>
      </c>
      <c r="V3" s="129" t="s">
        <v>335</v>
      </c>
      <c r="W3" s="129" t="s">
        <v>144</v>
      </c>
      <c r="X3" s="129" t="s">
        <v>336</v>
      </c>
      <c r="Y3" s="130" t="s">
        <v>337</v>
      </c>
      <c r="Z3" s="129" t="s">
        <v>330</v>
      </c>
      <c r="AA3" s="129" t="s">
        <v>331</v>
      </c>
      <c r="AB3" s="129" t="s">
        <v>332</v>
      </c>
      <c r="AC3" s="129" t="s">
        <v>333</v>
      </c>
      <c r="AD3" s="129" t="s">
        <v>150</v>
      </c>
      <c r="AE3" s="129" t="s">
        <v>334</v>
      </c>
      <c r="AF3" s="129" t="s">
        <v>335</v>
      </c>
      <c r="AG3" s="129" t="s">
        <v>144</v>
      </c>
      <c r="AH3" s="129" t="s">
        <v>336</v>
      </c>
      <c r="AI3" s="131" t="s">
        <v>337</v>
      </c>
      <c r="AJ3" s="132" t="s">
        <v>330</v>
      </c>
      <c r="AK3" s="129" t="s">
        <v>331</v>
      </c>
      <c r="AL3" s="129" t="s">
        <v>338</v>
      </c>
      <c r="AM3" s="129" t="s">
        <v>333</v>
      </c>
      <c r="AN3" s="129" t="s">
        <v>150</v>
      </c>
      <c r="AO3" s="129" t="s">
        <v>335</v>
      </c>
      <c r="AP3" s="129" t="s">
        <v>144</v>
      </c>
      <c r="AQ3" s="129" t="s">
        <v>336</v>
      </c>
      <c r="AR3" s="130" t="s">
        <v>337</v>
      </c>
      <c r="AS3" s="128" t="s">
        <v>330</v>
      </c>
      <c r="AT3" s="129" t="s">
        <v>331</v>
      </c>
      <c r="AU3" s="129" t="s">
        <v>338</v>
      </c>
      <c r="AV3" s="129" t="s">
        <v>333</v>
      </c>
      <c r="AW3" s="129" t="s">
        <v>150</v>
      </c>
      <c r="AX3" s="129" t="s">
        <v>335</v>
      </c>
      <c r="AY3" s="129" t="s">
        <v>144</v>
      </c>
      <c r="AZ3" s="129" t="s">
        <v>336</v>
      </c>
      <c r="BA3" s="130" t="s">
        <v>337</v>
      </c>
      <c r="BB3" s="128" t="s">
        <v>330</v>
      </c>
      <c r="BC3" s="129" t="s">
        <v>331</v>
      </c>
      <c r="BD3" s="129" t="s">
        <v>338</v>
      </c>
      <c r="BE3" s="129" t="s">
        <v>333</v>
      </c>
      <c r="BF3" s="129" t="s">
        <v>150</v>
      </c>
      <c r="BG3" s="129" t="s">
        <v>335</v>
      </c>
      <c r="BH3" s="129" t="s">
        <v>144</v>
      </c>
      <c r="BI3" s="129" t="s">
        <v>336</v>
      </c>
      <c r="BJ3" s="130" t="s">
        <v>337</v>
      </c>
      <c r="BK3" s="129" t="s">
        <v>330</v>
      </c>
      <c r="BL3" s="129" t="s">
        <v>331</v>
      </c>
      <c r="BM3" s="129" t="s">
        <v>338</v>
      </c>
      <c r="BN3" s="129" t="s">
        <v>333</v>
      </c>
      <c r="BO3" s="129" t="s">
        <v>150</v>
      </c>
      <c r="BP3" s="129" t="s">
        <v>335</v>
      </c>
      <c r="BQ3" s="129" t="s">
        <v>144</v>
      </c>
      <c r="BR3" s="129" t="s">
        <v>336</v>
      </c>
      <c r="BS3" s="131" t="s">
        <v>337</v>
      </c>
      <c r="BT3" s="132" t="s">
        <v>330</v>
      </c>
      <c r="BU3" s="129" t="s">
        <v>331</v>
      </c>
      <c r="BV3" s="129" t="s">
        <v>339</v>
      </c>
      <c r="BW3" s="129" t="s">
        <v>333</v>
      </c>
      <c r="BX3" s="129" t="s">
        <v>150</v>
      </c>
      <c r="BY3" s="129" t="s">
        <v>335</v>
      </c>
      <c r="BZ3" s="129" t="s">
        <v>144</v>
      </c>
      <c r="CA3" s="129" t="s">
        <v>336</v>
      </c>
      <c r="CB3" s="130" t="s">
        <v>337</v>
      </c>
      <c r="CC3" s="128" t="s">
        <v>330</v>
      </c>
      <c r="CD3" s="129" t="s">
        <v>331</v>
      </c>
      <c r="CE3" s="129" t="s">
        <v>339</v>
      </c>
      <c r="CF3" s="129" t="s">
        <v>333</v>
      </c>
      <c r="CG3" s="129" t="s">
        <v>150</v>
      </c>
      <c r="CH3" s="129" t="s">
        <v>335</v>
      </c>
      <c r="CI3" s="129" t="s">
        <v>144</v>
      </c>
      <c r="CJ3" s="129" t="s">
        <v>336</v>
      </c>
      <c r="CK3" s="130" t="s">
        <v>337</v>
      </c>
      <c r="CL3" s="128" t="s">
        <v>330</v>
      </c>
      <c r="CM3" s="129" t="s">
        <v>331</v>
      </c>
      <c r="CN3" s="129" t="s">
        <v>339</v>
      </c>
      <c r="CO3" s="129" t="s">
        <v>333</v>
      </c>
      <c r="CP3" s="129" t="s">
        <v>150</v>
      </c>
      <c r="CQ3" s="129" t="s">
        <v>335</v>
      </c>
      <c r="CR3" s="129" t="s">
        <v>144</v>
      </c>
      <c r="CS3" s="129" t="s">
        <v>336</v>
      </c>
      <c r="CT3" s="130" t="s">
        <v>337</v>
      </c>
      <c r="CU3" s="129" t="s">
        <v>330</v>
      </c>
      <c r="CV3" s="129" t="s">
        <v>331</v>
      </c>
      <c r="CW3" s="129" t="s">
        <v>339</v>
      </c>
      <c r="CX3" s="129" t="s">
        <v>333</v>
      </c>
      <c r="CY3" s="129" t="s">
        <v>150</v>
      </c>
      <c r="CZ3" s="129" t="s">
        <v>335</v>
      </c>
      <c r="DA3" s="129" t="s">
        <v>144</v>
      </c>
      <c r="DB3" s="129" t="s">
        <v>336</v>
      </c>
      <c r="DC3" s="131" t="s">
        <v>337</v>
      </c>
    </row>
    <row r="4" spans="1:107" ht="20" customHeight="1" thickBot="1" x14ac:dyDescent="0.25">
      <c r="A4" s="423"/>
      <c r="B4" s="423"/>
      <c r="C4" s="424"/>
      <c r="D4" s="424"/>
      <c r="E4" s="427"/>
      <c r="F4" s="133">
        <v>5</v>
      </c>
      <c r="G4" s="134">
        <v>5</v>
      </c>
      <c r="H4" s="134">
        <v>4</v>
      </c>
      <c r="I4" s="134">
        <v>2</v>
      </c>
      <c r="J4" s="134">
        <v>2</v>
      </c>
      <c r="K4" s="134">
        <v>4</v>
      </c>
      <c r="L4" s="134">
        <v>3</v>
      </c>
      <c r="M4" s="134">
        <v>2</v>
      </c>
      <c r="N4" s="134">
        <v>3</v>
      </c>
      <c r="O4" s="135">
        <v>1</v>
      </c>
      <c r="P4" s="136">
        <v>5</v>
      </c>
      <c r="Q4" s="134">
        <v>5</v>
      </c>
      <c r="R4" s="134">
        <v>4</v>
      </c>
      <c r="S4" s="134">
        <v>2</v>
      </c>
      <c r="T4" s="134">
        <v>2</v>
      </c>
      <c r="U4" s="134">
        <v>4</v>
      </c>
      <c r="V4" s="134">
        <v>3</v>
      </c>
      <c r="W4" s="134">
        <v>2</v>
      </c>
      <c r="X4" s="134">
        <v>3</v>
      </c>
      <c r="Y4" s="135">
        <v>1</v>
      </c>
      <c r="Z4" s="134">
        <v>5</v>
      </c>
      <c r="AA4" s="134">
        <v>5</v>
      </c>
      <c r="AB4" s="134">
        <v>4</v>
      </c>
      <c r="AC4" s="134">
        <v>2</v>
      </c>
      <c r="AD4" s="134">
        <v>2</v>
      </c>
      <c r="AE4" s="134">
        <v>4</v>
      </c>
      <c r="AF4" s="134">
        <v>3</v>
      </c>
      <c r="AG4" s="134">
        <v>2</v>
      </c>
      <c r="AH4" s="134">
        <v>3</v>
      </c>
      <c r="AI4" s="137">
        <v>1</v>
      </c>
      <c r="AJ4" s="133">
        <v>5</v>
      </c>
      <c r="AK4" s="134">
        <v>5</v>
      </c>
      <c r="AL4" s="134">
        <v>6</v>
      </c>
      <c r="AM4" s="134">
        <v>4</v>
      </c>
      <c r="AN4" s="134">
        <v>2</v>
      </c>
      <c r="AO4" s="134">
        <v>3</v>
      </c>
      <c r="AP4" s="134">
        <v>2</v>
      </c>
      <c r="AQ4" s="134">
        <v>3</v>
      </c>
      <c r="AR4" s="135">
        <v>1</v>
      </c>
      <c r="AS4" s="136">
        <v>5</v>
      </c>
      <c r="AT4" s="134">
        <v>5</v>
      </c>
      <c r="AU4" s="134">
        <v>6</v>
      </c>
      <c r="AV4" s="134">
        <v>4</v>
      </c>
      <c r="AW4" s="134">
        <v>2</v>
      </c>
      <c r="AX4" s="134">
        <v>3</v>
      </c>
      <c r="AY4" s="134">
        <v>2</v>
      </c>
      <c r="AZ4" s="134">
        <v>3</v>
      </c>
      <c r="BA4" s="135">
        <v>1</v>
      </c>
      <c r="BB4" s="136">
        <v>5</v>
      </c>
      <c r="BC4" s="134">
        <v>5</v>
      </c>
      <c r="BD4" s="134">
        <v>6</v>
      </c>
      <c r="BE4" s="134">
        <v>4</v>
      </c>
      <c r="BF4" s="134">
        <v>2</v>
      </c>
      <c r="BG4" s="134">
        <v>3</v>
      </c>
      <c r="BH4" s="134">
        <v>2</v>
      </c>
      <c r="BI4" s="134">
        <v>3</v>
      </c>
      <c r="BJ4" s="135">
        <v>1</v>
      </c>
      <c r="BK4" s="134">
        <v>5</v>
      </c>
      <c r="BL4" s="134">
        <v>5</v>
      </c>
      <c r="BM4" s="134">
        <v>6</v>
      </c>
      <c r="BN4" s="134">
        <v>4</v>
      </c>
      <c r="BO4" s="134">
        <v>2</v>
      </c>
      <c r="BP4" s="134">
        <v>3</v>
      </c>
      <c r="BQ4" s="134">
        <v>2</v>
      </c>
      <c r="BR4" s="134">
        <v>3</v>
      </c>
      <c r="BS4" s="137">
        <v>1</v>
      </c>
      <c r="BT4" s="133">
        <v>5</v>
      </c>
      <c r="BU4" s="134">
        <v>5</v>
      </c>
      <c r="BV4" s="134">
        <v>6</v>
      </c>
      <c r="BW4" s="134">
        <v>4</v>
      </c>
      <c r="BX4" s="134">
        <v>2</v>
      </c>
      <c r="BY4" s="134">
        <v>3</v>
      </c>
      <c r="BZ4" s="134">
        <v>2</v>
      </c>
      <c r="CA4" s="134">
        <v>3</v>
      </c>
      <c r="CB4" s="135">
        <v>1</v>
      </c>
      <c r="CC4" s="136">
        <v>5</v>
      </c>
      <c r="CD4" s="134">
        <v>5</v>
      </c>
      <c r="CE4" s="134">
        <v>6</v>
      </c>
      <c r="CF4" s="134">
        <v>4</v>
      </c>
      <c r="CG4" s="134">
        <v>2</v>
      </c>
      <c r="CH4" s="134">
        <v>3</v>
      </c>
      <c r="CI4" s="134">
        <v>2</v>
      </c>
      <c r="CJ4" s="134">
        <v>3</v>
      </c>
      <c r="CK4" s="135">
        <v>1</v>
      </c>
      <c r="CL4" s="136">
        <v>5</v>
      </c>
      <c r="CM4" s="134">
        <v>5</v>
      </c>
      <c r="CN4" s="134">
        <v>6</v>
      </c>
      <c r="CO4" s="134">
        <v>4</v>
      </c>
      <c r="CP4" s="134">
        <v>2</v>
      </c>
      <c r="CQ4" s="134">
        <v>3</v>
      </c>
      <c r="CR4" s="134">
        <v>2</v>
      </c>
      <c r="CS4" s="134">
        <v>3</v>
      </c>
      <c r="CT4" s="135">
        <v>1</v>
      </c>
      <c r="CU4" s="134">
        <v>5</v>
      </c>
      <c r="CV4" s="134">
        <v>5</v>
      </c>
      <c r="CW4" s="134">
        <v>6</v>
      </c>
      <c r="CX4" s="134">
        <v>4</v>
      </c>
      <c r="CY4" s="134">
        <v>2</v>
      </c>
      <c r="CZ4" s="134">
        <v>3</v>
      </c>
      <c r="DA4" s="134">
        <v>2</v>
      </c>
      <c r="DB4" s="134">
        <v>3</v>
      </c>
      <c r="DC4" s="137">
        <v>1</v>
      </c>
    </row>
    <row r="5" spans="1:107" x14ac:dyDescent="0.2">
      <c r="A5" s="138">
        <v>1</v>
      </c>
      <c r="B5" s="139" t="s">
        <v>340</v>
      </c>
      <c r="C5" s="162">
        <v>14</v>
      </c>
      <c r="D5" s="162"/>
      <c r="E5" s="140">
        <f t="shared" ref="E5:E27" si="0">C5-SUM(F5:DC5)</f>
        <v>4</v>
      </c>
      <c r="F5" s="141"/>
      <c r="G5" s="142"/>
      <c r="H5" s="142"/>
      <c r="I5" s="142"/>
      <c r="J5" s="142"/>
      <c r="K5" s="142"/>
      <c r="L5" s="142"/>
      <c r="M5" s="142"/>
      <c r="N5" s="142"/>
      <c r="O5" s="143"/>
      <c r="P5" s="144"/>
      <c r="Q5" s="142"/>
      <c r="R5" s="142"/>
      <c r="S5" s="142"/>
      <c r="T5" s="142"/>
      <c r="U5" s="142"/>
      <c r="V5" s="142"/>
      <c r="W5" s="142"/>
      <c r="X5" s="142"/>
      <c r="Y5" s="143"/>
      <c r="Z5" s="145"/>
      <c r="AA5" s="142"/>
      <c r="AB5" s="142"/>
      <c r="AC5" s="142"/>
      <c r="AD5" s="142"/>
      <c r="AE5" s="142"/>
      <c r="AF5" s="142"/>
      <c r="AG5" s="142"/>
      <c r="AH5" s="142"/>
      <c r="AI5" s="146"/>
      <c r="AJ5" s="145"/>
      <c r="AK5" s="142"/>
      <c r="AL5" s="142"/>
      <c r="AM5" s="142"/>
      <c r="AN5" s="142"/>
      <c r="AO5" s="142"/>
      <c r="AP5" s="142"/>
      <c r="AQ5" s="142"/>
      <c r="AR5" s="143"/>
      <c r="AS5" s="145">
        <v>5</v>
      </c>
      <c r="AT5" s="142"/>
      <c r="AU5" s="142"/>
      <c r="AV5" s="142"/>
      <c r="AW5" s="142"/>
      <c r="AX5" s="142"/>
      <c r="AY5" s="142"/>
      <c r="AZ5" s="142"/>
      <c r="BA5" s="143"/>
      <c r="BB5" s="145">
        <v>5</v>
      </c>
      <c r="BC5" s="142"/>
      <c r="BD5" s="142"/>
      <c r="BE5" s="142"/>
      <c r="BF5" s="142"/>
      <c r="BG5" s="142"/>
      <c r="BH5" s="142"/>
      <c r="BI5" s="142"/>
      <c r="BJ5" s="143"/>
      <c r="BK5" s="145"/>
      <c r="BL5" s="142"/>
      <c r="BM5" s="142"/>
      <c r="BN5" s="142"/>
      <c r="BO5" s="142"/>
      <c r="BP5" s="142"/>
      <c r="BQ5" s="142"/>
      <c r="BR5" s="142"/>
      <c r="BS5" s="146"/>
      <c r="BT5" s="145"/>
      <c r="BU5" s="142"/>
      <c r="BV5" s="142"/>
      <c r="BW5" s="142"/>
      <c r="BX5" s="142"/>
      <c r="BY5" s="142"/>
      <c r="BZ5" s="142"/>
      <c r="CA5" s="142"/>
      <c r="CB5" s="143"/>
      <c r="CC5" s="145"/>
      <c r="CD5" s="142"/>
      <c r="CE5" s="142"/>
      <c r="CF5" s="142"/>
      <c r="CG5" s="142"/>
      <c r="CH5" s="142"/>
      <c r="CI5" s="142"/>
      <c r="CJ5" s="142"/>
      <c r="CK5" s="143"/>
      <c r="CL5" s="145"/>
      <c r="CM5" s="142"/>
      <c r="CN5" s="142"/>
      <c r="CO5" s="142"/>
      <c r="CP5" s="142"/>
      <c r="CQ5" s="142"/>
      <c r="CR5" s="142"/>
      <c r="CS5" s="142"/>
      <c r="CT5" s="143"/>
      <c r="CU5" s="145"/>
      <c r="CV5" s="142"/>
      <c r="CW5" s="142"/>
      <c r="CX5" s="142"/>
      <c r="CY5" s="142"/>
      <c r="CZ5" s="142"/>
      <c r="DA5" s="142"/>
      <c r="DB5" s="142"/>
      <c r="DC5" s="146"/>
    </row>
    <row r="6" spans="1:107" x14ac:dyDescent="0.2">
      <c r="A6" s="138">
        <v>2</v>
      </c>
      <c r="B6" s="139" t="s">
        <v>341</v>
      </c>
      <c r="C6" s="163">
        <v>10</v>
      </c>
      <c r="D6" s="163"/>
      <c r="E6" s="147">
        <f t="shared" si="0"/>
        <v>0</v>
      </c>
      <c r="F6" s="148"/>
      <c r="G6" s="149"/>
      <c r="H6" s="149"/>
      <c r="I6" s="149"/>
      <c r="J6" s="149"/>
      <c r="K6" s="149"/>
      <c r="L6" s="149"/>
      <c r="M6" s="149"/>
      <c r="N6" s="149"/>
      <c r="O6" s="150"/>
      <c r="P6" s="151"/>
      <c r="Q6" s="149"/>
      <c r="R6" s="149"/>
      <c r="S6" s="149"/>
      <c r="T6" s="149"/>
      <c r="U6" s="149"/>
      <c r="V6" s="149"/>
      <c r="W6" s="149"/>
      <c r="X6" s="149"/>
      <c r="Y6" s="150"/>
      <c r="Z6" s="152"/>
      <c r="AA6" s="149"/>
      <c r="AB6" s="149"/>
      <c r="AC6" s="149"/>
      <c r="AD6" s="149"/>
      <c r="AE6" s="149"/>
      <c r="AF6" s="149"/>
      <c r="AG6" s="149"/>
      <c r="AH6" s="149"/>
      <c r="AI6" s="153"/>
      <c r="AJ6" s="152">
        <v>5</v>
      </c>
      <c r="AK6" s="149"/>
      <c r="AL6" s="149"/>
      <c r="AM6" s="149"/>
      <c r="AN6" s="149"/>
      <c r="AO6" s="149"/>
      <c r="AP6" s="149"/>
      <c r="AQ6" s="149"/>
      <c r="AR6" s="150"/>
      <c r="AS6" s="152"/>
      <c r="AT6" s="149"/>
      <c r="AU6" s="149"/>
      <c r="AV6" s="149"/>
      <c r="AW6" s="149"/>
      <c r="AX6" s="149"/>
      <c r="AY6" s="149"/>
      <c r="AZ6" s="149"/>
      <c r="BA6" s="150"/>
      <c r="BB6" s="152"/>
      <c r="BC6" s="149"/>
      <c r="BD6" s="149"/>
      <c r="BE6" s="149"/>
      <c r="BF6" s="149"/>
      <c r="BG6" s="149"/>
      <c r="BH6" s="149"/>
      <c r="BI6" s="149"/>
      <c r="BJ6" s="150"/>
      <c r="BK6" s="152">
        <v>5</v>
      </c>
      <c r="BL6" s="149"/>
      <c r="BM6" s="149"/>
      <c r="BN6" s="149"/>
      <c r="BO6" s="149"/>
      <c r="BP6" s="149"/>
      <c r="BQ6" s="149"/>
      <c r="BR6" s="149"/>
      <c r="BS6" s="153"/>
      <c r="BT6" s="152"/>
      <c r="BU6" s="149"/>
      <c r="BV6" s="149"/>
      <c r="BW6" s="149"/>
      <c r="BX6" s="149"/>
      <c r="BY6" s="149"/>
      <c r="BZ6" s="149"/>
      <c r="CA6" s="149"/>
      <c r="CB6" s="150"/>
      <c r="CC6" s="152"/>
      <c r="CD6" s="149"/>
      <c r="CE6" s="149"/>
      <c r="CF6" s="149"/>
      <c r="CG6" s="149"/>
      <c r="CH6" s="149"/>
      <c r="CI6" s="149"/>
      <c r="CJ6" s="149"/>
      <c r="CK6" s="150"/>
      <c r="CL6" s="152"/>
      <c r="CM6" s="149"/>
      <c r="CN6" s="149"/>
      <c r="CO6" s="149"/>
      <c r="CP6" s="149"/>
      <c r="CQ6" s="149"/>
      <c r="CR6" s="149"/>
      <c r="CS6" s="149"/>
      <c r="CT6" s="150"/>
      <c r="CU6" s="152"/>
      <c r="CV6" s="149"/>
      <c r="CW6" s="149"/>
      <c r="CX6" s="149"/>
      <c r="CY6" s="149"/>
      <c r="CZ6" s="149"/>
      <c r="DA6" s="149"/>
      <c r="DB6" s="149"/>
      <c r="DC6" s="153"/>
    </row>
    <row r="7" spans="1:107" x14ac:dyDescent="0.2">
      <c r="A7" s="138">
        <v>3</v>
      </c>
      <c r="B7" s="139" t="s">
        <v>342</v>
      </c>
      <c r="C7" s="163">
        <v>15</v>
      </c>
      <c r="D7" s="163"/>
      <c r="E7" s="147">
        <f t="shared" si="0"/>
        <v>0</v>
      </c>
      <c r="F7" s="148"/>
      <c r="G7" s="149"/>
      <c r="H7" s="149"/>
      <c r="I7" s="149"/>
      <c r="J7" s="149"/>
      <c r="K7" s="149"/>
      <c r="L7" s="149"/>
      <c r="M7" s="149"/>
      <c r="N7" s="149"/>
      <c r="O7" s="150"/>
      <c r="P7" s="151"/>
      <c r="Q7" s="149"/>
      <c r="R7" s="149"/>
      <c r="S7" s="149"/>
      <c r="T7" s="149"/>
      <c r="U7" s="149"/>
      <c r="V7" s="149"/>
      <c r="W7" s="149"/>
      <c r="X7" s="149"/>
      <c r="Y7" s="150"/>
      <c r="Z7" s="152"/>
      <c r="AA7" s="149"/>
      <c r="AB7" s="149"/>
      <c r="AC7" s="149"/>
      <c r="AD7" s="149"/>
      <c r="AE7" s="149"/>
      <c r="AF7" s="149"/>
      <c r="AG7" s="149"/>
      <c r="AH7" s="149"/>
      <c r="AI7" s="153"/>
      <c r="AJ7" s="152"/>
      <c r="AK7" s="149"/>
      <c r="AL7" s="149"/>
      <c r="AM7" s="149"/>
      <c r="AN7" s="149"/>
      <c r="AO7" s="149"/>
      <c r="AP7" s="149"/>
      <c r="AQ7" s="149"/>
      <c r="AR7" s="150"/>
      <c r="AS7" s="152"/>
      <c r="AT7" s="149"/>
      <c r="AU7" s="149"/>
      <c r="AV7" s="149"/>
      <c r="AW7" s="149"/>
      <c r="AX7" s="149"/>
      <c r="AY7" s="149"/>
      <c r="AZ7" s="149"/>
      <c r="BA7" s="150"/>
      <c r="BB7" s="152"/>
      <c r="BC7" s="149"/>
      <c r="BD7" s="149"/>
      <c r="BE7" s="149"/>
      <c r="BF7" s="149"/>
      <c r="BG7" s="149"/>
      <c r="BH7" s="149"/>
      <c r="BI7" s="149"/>
      <c r="BJ7" s="150"/>
      <c r="BK7" s="152"/>
      <c r="BL7" s="149"/>
      <c r="BM7" s="149"/>
      <c r="BN7" s="149"/>
      <c r="BO7" s="149"/>
      <c r="BP7" s="149"/>
      <c r="BQ7" s="149"/>
      <c r="BR7" s="149"/>
      <c r="BS7" s="153"/>
      <c r="BT7" s="152">
        <v>5</v>
      </c>
      <c r="BU7" s="149"/>
      <c r="BV7" s="149"/>
      <c r="BW7" s="149"/>
      <c r="BX7" s="149"/>
      <c r="BY7" s="149"/>
      <c r="BZ7" s="149"/>
      <c r="CA7" s="149"/>
      <c r="CB7" s="150"/>
      <c r="CC7" s="152">
        <v>5</v>
      </c>
      <c r="CD7" s="149"/>
      <c r="CE7" s="149"/>
      <c r="CF7" s="149"/>
      <c r="CG7" s="149"/>
      <c r="CH7" s="149"/>
      <c r="CI7" s="149"/>
      <c r="CJ7" s="149"/>
      <c r="CK7" s="150"/>
      <c r="CL7" s="152">
        <v>5</v>
      </c>
      <c r="CM7" s="149"/>
      <c r="CN7" s="149"/>
      <c r="CO7" s="149"/>
      <c r="CP7" s="149"/>
      <c r="CQ7" s="149"/>
      <c r="CR7" s="149"/>
      <c r="CS7" s="149"/>
      <c r="CT7" s="150"/>
      <c r="CU7" s="152"/>
      <c r="CV7" s="149"/>
      <c r="CW7" s="149"/>
      <c r="CX7" s="149"/>
      <c r="CY7" s="149"/>
      <c r="CZ7" s="149"/>
      <c r="DA7" s="149"/>
      <c r="DB7" s="149"/>
      <c r="DC7" s="153"/>
    </row>
    <row r="8" spans="1:107" x14ac:dyDescent="0.2">
      <c r="A8" s="138">
        <v>4</v>
      </c>
      <c r="B8" s="139" t="s">
        <v>343</v>
      </c>
      <c r="C8" s="163">
        <v>15</v>
      </c>
      <c r="D8" s="163"/>
      <c r="E8" s="147">
        <f t="shared" si="0"/>
        <v>0</v>
      </c>
      <c r="F8" s="148">
        <v>5</v>
      </c>
      <c r="G8" s="149"/>
      <c r="H8" s="149"/>
      <c r="I8" s="149"/>
      <c r="J8" s="149"/>
      <c r="K8" s="149"/>
      <c r="L8" s="149"/>
      <c r="M8" s="149"/>
      <c r="N8" s="149"/>
      <c r="O8" s="150"/>
      <c r="P8" s="151">
        <v>5</v>
      </c>
      <c r="Q8" s="149"/>
      <c r="R8" s="149"/>
      <c r="S8" s="149"/>
      <c r="T8" s="149"/>
      <c r="U8" s="149"/>
      <c r="V8" s="149"/>
      <c r="W8" s="149"/>
      <c r="X8" s="149"/>
      <c r="Y8" s="150"/>
      <c r="Z8" s="152">
        <v>5</v>
      </c>
      <c r="AA8" s="149"/>
      <c r="AB8" s="149"/>
      <c r="AC8" s="149"/>
      <c r="AD8" s="149"/>
      <c r="AE8" s="149"/>
      <c r="AF8" s="149"/>
      <c r="AG8" s="149"/>
      <c r="AH8" s="149"/>
      <c r="AI8" s="153"/>
      <c r="AJ8" s="152"/>
      <c r="AK8" s="149"/>
      <c r="AL8" s="149"/>
      <c r="AM8" s="149"/>
      <c r="AN8" s="149"/>
      <c r="AO8" s="149"/>
      <c r="AP8" s="149"/>
      <c r="AQ8" s="149"/>
      <c r="AR8" s="150"/>
      <c r="AS8" s="152"/>
      <c r="AT8" s="149"/>
      <c r="AU8" s="149"/>
      <c r="AV8" s="149"/>
      <c r="AW8" s="149"/>
      <c r="AX8" s="149"/>
      <c r="AY8" s="149"/>
      <c r="AZ8" s="149"/>
      <c r="BA8" s="150"/>
      <c r="BB8" s="152"/>
      <c r="BC8" s="149"/>
      <c r="BD8" s="149"/>
      <c r="BE8" s="149"/>
      <c r="BF8" s="149"/>
      <c r="BG8" s="149"/>
      <c r="BH8" s="149"/>
      <c r="BI8" s="149"/>
      <c r="BJ8" s="150"/>
      <c r="BK8" s="152"/>
      <c r="BL8" s="149"/>
      <c r="BM8" s="149"/>
      <c r="BN8" s="149"/>
      <c r="BO8" s="149"/>
      <c r="BP8" s="149"/>
      <c r="BQ8" s="149"/>
      <c r="BR8" s="149"/>
      <c r="BS8" s="153"/>
      <c r="BT8" s="152"/>
      <c r="BU8" s="149"/>
      <c r="BV8" s="149"/>
      <c r="BW8" s="149"/>
      <c r="BX8" s="149"/>
      <c r="BY8" s="149"/>
      <c r="BZ8" s="149"/>
      <c r="CA8" s="149"/>
      <c r="CB8" s="150"/>
      <c r="CC8" s="152"/>
      <c r="CD8" s="149"/>
      <c r="CE8" s="149"/>
      <c r="CF8" s="149"/>
      <c r="CG8" s="149"/>
      <c r="CH8" s="149"/>
      <c r="CI8" s="149"/>
      <c r="CJ8" s="149"/>
      <c r="CK8" s="150"/>
      <c r="CL8" s="152"/>
      <c r="CM8" s="149"/>
      <c r="CN8" s="149"/>
      <c r="CO8" s="149"/>
      <c r="CP8" s="149"/>
      <c r="CQ8" s="149"/>
      <c r="CR8" s="149"/>
      <c r="CS8" s="149"/>
      <c r="CT8" s="150"/>
      <c r="CU8" s="152"/>
      <c r="CV8" s="149"/>
      <c r="CW8" s="149"/>
      <c r="CX8" s="149"/>
      <c r="CY8" s="149"/>
      <c r="CZ8" s="149"/>
      <c r="DA8" s="149"/>
      <c r="DB8" s="149"/>
      <c r="DC8" s="153"/>
    </row>
    <row r="9" spans="1:107" x14ac:dyDescent="0.2">
      <c r="A9" s="138">
        <v>5</v>
      </c>
      <c r="B9" s="139" t="s">
        <v>344</v>
      </c>
      <c r="C9" s="163">
        <v>24</v>
      </c>
      <c r="D9" s="163"/>
      <c r="E9" s="147">
        <f t="shared" si="0"/>
        <v>4</v>
      </c>
      <c r="F9" s="148"/>
      <c r="G9" s="149">
        <v>5</v>
      </c>
      <c r="H9" s="149"/>
      <c r="I9" s="149"/>
      <c r="J9" s="149"/>
      <c r="K9" s="149"/>
      <c r="L9" s="149"/>
      <c r="M9" s="149"/>
      <c r="N9" s="149"/>
      <c r="O9" s="150"/>
      <c r="P9" s="151"/>
      <c r="Q9" s="149">
        <v>5</v>
      </c>
      <c r="R9" s="149"/>
      <c r="S9" s="149"/>
      <c r="T9" s="149"/>
      <c r="U9" s="149"/>
      <c r="V9" s="149"/>
      <c r="W9" s="149"/>
      <c r="X9" s="149"/>
      <c r="Y9" s="150"/>
      <c r="Z9" s="152"/>
      <c r="AA9" s="149">
        <v>5</v>
      </c>
      <c r="AB9" s="149"/>
      <c r="AC9" s="149"/>
      <c r="AD9" s="149"/>
      <c r="AE9" s="149"/>
      <c r="AF9" s="149"/>
      <c r="AG9" s="149"/>
      <c r="AH9" s="149"/>
      <c r="AI9" s="153"/>
      <c r="AJ9" s="152"/>
      <c r="AK9" s="149">
        <v>5</v>
      </c>
      <c r="AL9" s="149"/>
      <c r="AM9" s="149"/>
      <c r="AN9" s="149"/>
      <c r="AO9" s="149"/>
      <c r="AP9" s="149"/>
      <c r="AQ9" s="149"/>
      <c r="AR9" s="150"/>
      <c r="AS9" s="152"/>
      <c r="AT9" s="149"/>
      <c r="AU9" s="149"/>
      <c r="AV9" s="149"/>
      <c r="AW9" s="149"/>
      <c r="AX9" s="149"/>
      <c r="AY9" s="149"/>
      <c r="AZ9" s="149"/>
      <c r="BA9" s="150"/>
      <c r="BB9" s="152"/>
      <c r="BC9" s="149"/>
      <c r="BD9" s="149"/>
      <c r="BE9" s="149"/>
      <c r="BF9" s="149"/>
      <c r="BG9" s="149"/>
      <c r="BH9" s="149"/>
      <c r="BI9" s="149"/>
      <c r="BJ9" s="150"/>
      <c r="BK9" s="152"/>
      <c r="BL9" s="149"/>
      <c r="BM9" s="149"/>
      <c r="BN9" s="149"/>
      <c r="BO9" s="149"/>
      <c r="BP9" s="149"/>
      <c r="BQ9" s="149"/>
      <c r="BR9" s="149"/>
      <c r="BS9" s="153"/>
      <c r="BT9" s="152"/>
      <c r="BU9" s="149"/>
      <c r="BV9" s="149"/>
      <c r="BW9" s="149"/>
      <c r="BX9" s="149"/>
      <c r="BY9" s="149"/>
      <c r="BZ9" s="149"/>
      <c r="CA9" s="149"/>
      <c r="CB9" s="150"/>
      <c r="CC9" s="152"/>
      <c r="CD9" s="149"/>
      <c r="CE9" s="149"/>
      <c r="CF9" s="149"/>
      <c r="CG9" s="149"/>
      <c r="CH9" s="149"/>
      <c r="CI9" s="149"/>
      <c r="CJ9" s="149"/>
      <c r="CK9" s="150"/>
      <c r="CL9" s="152"/>
      <c r="CM9" s="149"/>
      <c r="CN9" s="149"/>
      <c r="CO9" s="149"/>
      <c r="CP9" s="149"/>
      <c r="CQ9" s="149"/>
      <c r="CR9" s="149"/>
      <c r="CS9" s="149"/>
      <c r="CT9" s="150"/>
      <c r="CU9" s="152"/>
      <c r="CV9" s="149"/>
      <c r="CW9" s="149"/>
      <c r="CX9" s="149"/>
      <c r="CY9" s="149"/>
      <c r="CZ9" s="149"/>
      <c r="DA9" s="149"/>
      <c r="DB9" s="149"/>
      <c r="DC9" s="153"/>
    </row>
    <row r="10" spans="1:107" x14ac:dyDescent="0.2">
      <c r="A10" s="138">
        <v>6</v>
      </c>
      <c r="B10" s="139" t="s">
        <v>345</v>
      </c>
      <c r="C10" s="163">
        <v>19</v>
      </c>
      <c r="D10" s="163"/>
      <c r="E10" s="147">
        <f t="shared" si="0"/>
        <v>0</v>
      </c>
      <c r="F10" s="148"/>
      <c r="G10" s="149"/>
      <c r="H10" s="149">
        <v>4</v>
      </c>
      <c r="I10" s="149"/>
      <c r="J10" s="149"/>
      <c r="K10" s="149"/>
      <c r="L10" s="149"/>
      <c r="M10" s="149"/>
      <c r="N10" s="149"/>
      <c r="O10" s="150">
        <v>1</v>
      </c>
      <c r="P10" s="151"/>
      <c r="Q10" s="149"/>
      <c r="R10" s="149">
        <v>4</v>
      </c>
      <c r="S10" s="149"/>
      <c r="T10" s="149"/>
      <c r="U10" s="149"/>
      <c r="V10" s="149"/>
      <c r="W10" s="149"/>
      <c r="X10" s="149"/>
      <c r="Y10" s="150"/>
      <c r="Z10" s="152"/>
      <c r="AA10" s="149"/>
      <c r="AB10" s="149">
        <v>4</v>
      </c>
      <c r="AC10" s="149"/>
      <c r="AD10" s="149"/>
      <c r="AE10" s="149"/>
      <c r="AF10" s="149"/>
      <c r="AG10" s="149"/>
      <c r="AH10" s="149"/>
      <c r="AI10" s="153"/>
      <c r="AJ10" s="152"/>
      <c r="AK10" s="149"/>
      <c r="AL10" s="149"/>
      <c r="AM10" s="149"/>
      <c r="AN10" s="149"/>
      <c r="AO10" s="149"/>
      <c r="AP10" s="149"/>
      <c r="AQ10" s="149"/>
      <c r="AR10" s="150"/>
      <c r="AS10" s="152"/>
      <c r="AT10" s="149"/>
      <c r="AU10" s="149"/>
      <c r="AV10" s="149"/>
      <c r="AW10" s="149"/>
      <c r="AX10" s="149"/>
      <c r="AY10" s="149"/>
      <c r="AZ10" s="149"/>
      <c r="BA10" s="150"/>
      <c r="BB10" s="152"/>
      <c r="BC10" s="149"/>
      <c r="BD10" s="149"/>
      <c r="BE10" s="149"/>
      <c r="BF10" s="149"/>
      <c r="BG10" s="149"/>
      <c r="BH10" s="149"/>
      <c r="BI10" s="149"/>
      <c r="BJ10" s="150"/>
      <c r="BK10" s="152"/>
      <c r="BL10" s="149"/>
      <c r="BM10" s="149"/>
      <c r="BN10" s="149"/>
      <c r="BO10" s="149"/>
      <c r="BP10" s="149"/>
      <c r="BQ10" s="149"/>
      <c r="BR10" s="149"/>
      <c r="BS10" s="153"/>
      <c r="BT10" s="152"/>
      <c r="BU10" s="149"/>
      <c r="BV10" s="149"/>
      <c r="BW10" s="149"/>
      <c r="BX10" s="149"/>
      <c r="BY10" s="149"/>
      <c r="BZ10" s="149"/>
      <c r="CA10" s="149"/>
      <c r="CB10" s="150"/>
      <c r="CC10" s="152"/>
      <c r="CD10" s="149"/>
      <c r="CE10" s="149"/>
      <c r="CF10" s="149"/>
      <c r="CG10" s="149"/>
      <c r="CH10" s="149"/>
      <c r="CI10" s="149"/>
      <c r="CJ10" s="149"/>
      <c r="CK10" s="150"/>
      <c r="CL10" s="152"/>
      <c r="CM10" s="149"/>
      <c r="CN10" s="149"/>
      <c r="CO10" s="149"/>
      <c r="CP10" s="149"/>
      <c r="CQ10" s="149"/>
      <c r="CR10" s="149"/>
      <c r="CS10" s="149"/>
      <c r="CT10" s="150"/>
      <c r="CU10" s="152"/>
      <c r="CV10" s="149"/>
      <c r="CW10" s="149">
        <v>6</v>
      </c>
      <c r="CX10" s="149"/>
      <c r="CY10" s="149"/>
      <c r="CZ10" s="149"/>
      <c r="DA10" s="149"/>
      <c r="DB10" s="149"/>
      <c r="DC10" s="153"/>
    </row>
    <row r="11" spans="1:107" x14ac:dyDescent="0.2">
      <c r="A11" s="138">
        <v>7</v>
      </c>
      <c r="B11" s="139" t="s">
        <v>346</v>
      </c>
      <c r="C11" s="163">
        <v>9</v>
      </c>
      <c r="D11" s="163"/>
      <c r="E11" s="147">
        <f t="shared" si="0"/>
        <v>8</v>
      </c>
      <c r="F11" s="148"/>
      <c r="G11" s="149"/>
      <c r="H11" s="149"/>
      <c r="I11" s="149"/>
      <c r="J11" s="149"/>
      <c r="K11" s="149"/>
      <c r="L11" s="149"/>
      <c r="M11" s="149"/>
      <c r="N11" s="149"/>
      <c r="O11" s="150"/>
      <c r="P11" s="151"/>
      <c r="Q11" s="149"/>
      <c r="R11" s="149"/>
      <c r="S11" s="149"/>
      <c r="T11" s="149"/>
      <c r="U11" s="149"/>
      <c r="V11" s="149"/>
      <c r="W11" s="149"/>
      <c r="X11" s="149"/>
      <c r="Y11" s="150"/>
      <c r="Z11" s="152"/>
      <c r="AA11" s="149"/>
      <c r="AB11" s="149"/>
      <c r="AC11" s="149"/>
      <c r="AD11" s="149"/>
      <c r="AE11" s="149"/>
      <c r="AF11" s="149"/>
      <c r="AG11" s="149"/>
      <c r="AH11" s="149"/>
      <c r="AI11" s="153"/>
      <c r="AJ11" s="152"/>
      <c r="AK11" s="149"/>
      <c r="AL11" s="149"/>
      <c r="AM11" s="149"/>
      <c r="AN11" s="149"/>
      <c r="AO11" s="149"/>
      <c r="AP11" s="149"/>
      <c r="AQ11" s="149"/>
      <c r="AR11" s="150"/>
      <c r="AS11" s="152"/>
      <c r="AT11" s="149"/>
      <c r="AU11" s="149"/>
      <c r="AV11" s="149"/>
      <c r="AW11" s="149"/>
      <c r="AX11" s="149"/>
      <c r="AY11" s="149"/>
      <c r="AZ11" s="149"/>
      <c r="BA11" s="150"/>
      <c r="BB11" s="152"/>
      <c r="BC11" s="149"/>
      <c r="BD11" s="149"/>
      <c r="BE11" s="149"/>
      <c r="BF11" s="149"/>
      <c r="BG11" s="149"/>
      <c r="BH11" s="149"/>
      <c r="BI11" s="149"/>
      <c r="BJ11" s="150"/>
      <c r="BK11" s="152"/>
      <c r="BL11" s="149"/>
      <c r="BM11" s="149"/>
      <c r="BN11" s="149"/>
      <c r="BO11" s="149"/>
      <c r="BP11" s="149"/>
      <c r="BQ11" s="149"/>
      <c r="BR11" s="149"/>
      <c r="BS11" s="153"/>
      <c r="BT11" s="152"/>
      <c r="BU11" s="149"/>
      <c r="BV11" s="149"/>
      <c r="BW11" s="149"/>
      <c r="BX11" s="149"/>
      <c r="BY11" s="149"/>
      <c r="BZ11" s="149"/>
      <c r="CA11" s="149"/>
      <c r="CB11" s="150"/>
      <c r="CC11" s="152"/>
      <c r="CD11" s="149"/>
      <c r="CE11" s="149"/>
      <c r="CF11" s="149"/>
      <c r="CG11" s="149"/>
      <c r="CH11" s="149"/>
      <c r="CI11" s="149"/>
      <c r="CJ11" s="149"/>
      <c r="CK11" s="150"/>
      <c r="CL11" s="152"/>
      <c r="CM11" s="149"/>
      <c r="CN11" s="149"/>
      <c r="CO11" s="149"/>
      <c r="CP11" s="149"/>
      <c r="CQ11" s="149"/>
      <c r="CR11" s="149"/>
      <c r="CS11" s="149"/>
      <c r="CT11" s="150"/>
      <c r="CU11" s="152"/>
      <c r="CV11" s="149"/>
      <c r="CW11" s="149"/>
      <c r="CX11" s="149"/>
      <c r="CY11" s="149"/>
      <c r="CZ11" s="149"/>
      <c r="DA11" s="149"/>
      <c r="DB11" s="149"/>
      <c r="DC11" s="153">
        <v>1</v>
      </c>
    </row>
    <row r="12" spans="1:107" x14ac:dyDescent="0.2">
      <c r="A12" s="138">
        <v>8</v>
      </c>
      <c r="B12" s="139" t="s">
        <v>347</v>
      </c>
      <c r="C12" s="163">
        <v>7</v>
      </c>
      <c r="D12" s="163"/>
      <c r="E12" s="147">
        <f t="shared" si="0"/>
        <v>0</v>
      </c>
      <c r="F12" s="148"/>
      <c r="G12" s="149"/>
      <c r="H12" s="149"/>
      <c r="I12" s="149"/>
      <c r="J12" s="149"/>
      <c r="K12" s="149"/>
      <c r="L12" s="149"/>
      <c r="M12" s="149"/>
      <c r="N12" s="149"/>
      <c r="O12" s="150"/>
      <c r="P12" s="151"/>
      <c r="Q12" s="149"/>
      <c r="R12" s="149"/>
      <c r="S12" s="149"/>
      <c r="T12" s="149"/>
      <c r="U12" s="149"/>
      <c r="V12" s="149"/>
      <c r="W12" s="149"/>
      <c r="X12" s="149"/>
      <c r="Y12" s="150"/>
      <c r="Z12" s="152"/>
      <c r="AA12" s="149"/>
      <c r="AB12" s="149"/>
      <c r="AC12" s="149"/>
      <c r="AD12" s="149"/>
      <c r="AE12" s="149"/>
      <c r="AF12" s="149"/>
      <c r="AG12" s="149"/>
      <c r="AH12" s="149"/>
      <c r="AI12" s="153"/>
      <c r="AJ12" s="152"/>
      <c r="AK12" s="149"/>
      <c r="AL12" s="149"/>
      <c r="AM12" s="149"/>
      <c r="AN12" s="149"/>
      <c r="AO12" s="149"/>
      <c r="AP12" s="149"/>
      <c r="AQ12" s="149"/>
      <c r="AR12" s="150"/>
      <c r="AS12" s="152"/>
      <c r="AT12" s="149"/>
      <c r="AU12" s="149"/>
      <c r="AV12" s="149"/>
      <c r="AW12" s="149"/>
      <c r="AX12" s="149"/>
      <c r="AY12" s="149"/>
      <c r="AZ12" s="149"/>
      <c r="BA12" s="150"/>
      <c r="BB12" s="152"/>
      <c r="BC12" s="149"/>
      <c r="BD12" s="149"/>
      <c r="BE12" s="149"/>
      <c r="BF12" s="149"/>
      <c r="BG12" s="149"/>
      <c r="BH12" s="149"/>
      <c r="BI12" s="149"/>
      <c r="BJ12" s="150"/>
      <c r="BK12" s="152"/>
      <c r="BL12" s="149"/>
      <c r="BM12" s="149">
        <v>6</v>
      </c>
      <c r="BN12" s="149"/>
      <c r="BO12" s="149"/>
      <c r="BP12" s="149"/>
      <c r="BQ12" s="149"/>
      <c r="BR12" s="149"/>
      <c r="BS12" s="153">
        <v>1</v>
      </c>
      <c r="BT12" s="152"/>
      <c r="BU12" s="149"/>
      <c r="BV12" s="149"/>
      <c r="BW12" s="149"/>
      <c r="BX12" s="149"/>
      <c r="BY12" s="149"/>
      <c r="BZ12" s="149"/>
      <c r="CA12" s="149"/>
      <c r="CB12" s="150"/>
      <c r="CC12" s="152"/>
      <c r="CD12" s="149"/>
      <c r="CE12" s="149"/>
      <c r="CF12" s="149"/>
      <c r="CG12" s="149"/>
      <c r="CH12" s="149"/>
      <c r="CI12" s="149"/>
      <c r="CJ12" s="149"/>
      <c r="CK12" s="150"/>
      <c r="CL12" s="152"/>
      <c r="CM12" s="149"/>
      <c r="CN12" s="149"/>
      <c r="CO12" s="149"/>
      <c r="CP12" s="149"/>
      <c r="CQ12" s="149"/>
      <c r="CR12" s="149"/>
      <c r="CS12" s="149"/>
      <c r="CT12" s="150"/>
      <c r="CU12" s="152"/>
      <c r="CV12" s="149"/>
      <c r="CW12" s="149"/>
      <c r="CX12" s="149"/>
      <c r="CY12" s="149"/>
      <c r="CZ12" s="149"/>
      <c r="DA12" s="149"/>
      <c r="DB12" s="149"/>
      <c r="DC12" s="153"/>
    </row>
    <row r="13" spans="1:107" x14ac:dyDescent="0.2">
      <c r="A13" s="138">
        <v>9</v>
      </c>
      <c r="B13" s="139" t="s">
        <v>348</v>
      </c>
      <c r="C13" s="163">
        <v>18</v>
      </c>
      <c r="D13" s="163"/>
      <c r="E13" s="147">
        <f t="shared" si="0"/>
        <v>0</v>
      </c>
      <c r="F13" s="148"/>
      <c r="G13" s="149"/>
      <c r="H13" s="149"/>
      <c r="I13" s="149"/>
      <c r="J13" s="149"/>
      <c r="K13" s="149"/>
      <c r="L13" s="149"/>
      <c r="M13" s="149"/>
      <c r="N13" s="149"/>
      <c r="O13" s="150"/>
      <c r="P13" s="151"/>
      <c r="Q13" s="149"/>
      <c r="R13" s="149"/>
      <c r="S13" s="149"/>
      <c r="T13" s="149"/>
      <c r="U13" s="149"/>
      <c r="V13" s="149"/>
      <c r="W13" s="149"/>
      <c r="X13" s="149"/>
      <c r="Y13" s="150"/>
      <c r="Z13" s="152"/>
      <c r="AA13" s="149"/>
      <c r="AB13" s="149"/>
      <c r="AC13" s="149"/>
      <c r="AD13" s="149"/>
      <c r="AE13" s="149"/>
      <c r="AF13" s="149"/>
      <c r="AG13" s="149"/>
      <c r="AH13" s="149"/>
      <c r="AI13" s="153"/>
      <c r="AJ13" s="152"/>
      <c r="AK13" s="149"/>
      <c r="AL13" s="149">
        <v>6</v>
      </c>
      <c r="AM13" s="149"/>
      <c r="AN13" s="149"/>
      <c r="AO13" s="149"/>
      <c r="AP13" s="149"/>
      <c r="AQ13" s="149"/>
      <c r="AR13" s="150"/>
      <c r="AS13" s="152"/>
      <c r="AT13" s="149"/>
      <c r="AU13" s="149">
        <v>6</v>
      </c>
      <c r="AV13" s="149"/>
      <c r="AW13" s="149"/>
      <c r="AX13" s="149"/>
      <c r="AY13" s="149"/>
      <c r="AZ13" s="149"/>
      <c r="BA13" s="150"/>
      <c r="BB13" s="152"/>
      <c r="BC13" s="149"/>
      <c r="BD13" s="149">
        <v>6</v>
      </c>
      <c r="BE13" s="149"/>
      <c r="BF13" s="149"/>
      <c r="BG13" s="149"/>
      <c r="BH13" s="149"/>
      <c r="BI13" s="149"/>
      <c r="BJ13" s="150"/>
      <c r="BK13" s="152"/>
      <c r="BL13" s="149"/>
      <c r="BM13" s="149"/>
      <c r="BN13" s="149"/>
      <c r="BO13" s="149"/>
      <c r="BP13" s="149"/>
      <c r="BQ13" s="149"/>
      <c r="BR13" s="149"/>
      <c r="BS13" s="153"/>
      <c r="BT13" s="152"/>
      <c r="BU13" s="149"/>
      <c r="BV13" s="149"/>
      <c r="BW13" s="149"/>
      <c r="BX13" s="149"/>
      <c r="BY13" s="149"/>
      <c r="BZ13" s="149"/>
      <c r="CA13" s="149"/>
      <c r="CB13" s="150"/>
      <c r="CC13" s="152"/>
      <c r="CD13" s="149"/>
      <c r="CE13" s="149"/>
      <c r="CF13" s="149"/>
      <c r="CG13" s="149"/>
      <c r="CH13" s="149"/>
      <c r="CI13" s="149"/>
      <c r="CJ13" s="149"/>
      <c r="CK13" s="150"/>
      <c r="CL13" s="152"/>
      <c r="CM13" s="149"/>
      <c r="CN13" s="149"/>
      <c r="CO13" s="149"/>
      <c r="CP13" s="149"/>
      <c r="CQ13" s="149"/>
      <c r="CR13" s="149"/>
      <c r="CS13" s="149"/>
      <c r="CT13" s="150"/>
      <c r="CU13" s="152"/>
      <c r="CV13" s="149"/>
      <c r="CW13" s="149"/>
      <c r="CX13" s="149"/>
      <c r="CY13" s="149"/>
      <c r="CZ13" s="149"/>
      <c r="DA13" s="149"/>
      <c r="DB13" s="149"/>
      <c r="DC13" s="153"/>
    </row>
    <row r="14" spans="1:107" x14ac:dyDescent="0.2">
      <c r="A14" s="138">
        <v>10</v>
      </c>
      <c r="B14" s="139" t="s">
        <v>349</v>
      </c>
      <c r="C14" s="163">
        <v>18</v>
      </c>
      <c r="D14" s="163"/>
      <c r="E14" s="147">
        <f t="shared" si="0"/>
        <v>0</v>
      </c>
      <c r="F14" s="148"/>
      <c r="G14" s="149"/>
      <c r="H14" s="149"/>
      <c r="I14" s="149"/>
      <c r="J14" s="149"/>
      <c r="K14" s="149"/>
      <c r="L14" s="149"/>
      <c r="M14" s="149"/>
      <c r="N14" s="149"/>
      <c r="O14" s="150"/>
      <c r="P14" s="151"/>
      <c r="Q14" s="149"/>
      <c r="R14" s="149"/>
      <c r="S14" s="149"/>
      <c r="T14" s="149"/>
      <c r="U14" s="149"/>
      <c r="V14" s="149"/>
      <c r="W14" s="149"/>
      <c r="X14" s="149"/>
      <c r="Y14" s="150"/>
      <c r="Z14" s="152"/>
      <c r="AA14" s="149"/>
      <c r="AB14" s="149"/>
      <c r="AC14" s="149"/>
      <c r="AD14" s="149"/>
      <c r="AE14" s="149"/>
      <c r="AF14" s="149"/>
      <c r="AG14" s="149"/>
      <c r="AH14" s="149"/>
      <c r="AI14" s="153"/>
      <c r="AJ14" s="152"/>
      <c r="AK14" s="149"/>
      <c r="AL14" s="149"/>
      <c r="AM14" s="149"/>
      <c r="AN14" s="149"/>
      <c r="AO14" s="149"/>
      <c r="AP14" s="149"/>
      <c r="AQ14" s="149"/>
      <c r="AR14" s="150"/>
      <c r="AS14" s="152"/>
      <c r="AT14" s="149"/>
      <c r="AU14" s="149"/>
      <c r="AV14" s="149"/>
      <c r="AW14" s="149"/>
      <c r="AX14" s="149"/>
      <c r="AY14" s="149"/>
      <c r="AZ14" s="149"/>
      <c r="BA14" s="150"/>
      <c r="BB14" s="152"/>
      <c r="BC14" s="149"/>
      <c r="BD14" s="149"/>
      <c r="BE14" s="149"/>
      <c r="BF14" s="149"/>
      <c r="BG14" s="149"/>
      <c r="BH14" s="149"/>
      <c r="BI14" s="149"/>
      <c r="BJ14" s="150"/>
      <c r="BK14" s="152"/>
      <c r="BL14" s="149"/>
      <c r="BM14" s="149"/>
      <c r="BN14" s="149"/>
      <c r="BO14" s="149"/>
      <c r="BP14" s="149"/>
      <c r="BQ14" s="149"/>
      <c r="BR14" s="149"/>
      <c r="BS14" s="153"/>
      <c r="BT14" s="152"/>
      <c r="BU14" s="149"/>
      <c r="BV14" s="149">
        <v>6</v>
      </c>
      <c r="BW14" s="149"/>
      <c r="BX14" s="149"/>
      <c r="BY14" s="149"/>
      <c r="BZ14" s="149"/>
      <c r="CA14" s="149"/>
      <c r="CB14" s="150"/>
      <c r="CC14" s="152"/>
      <c r="CD14" s="149"/>
      <c r="CE14" s="149">
        <v>6</v>
      </c>
      <c r="CF14" s="149"/>
      <c r="CG14" s="149"/>
      <c r="CH14" s="149"/>
      <c r="CI14" s="149"/>
      <c r="CJ14" s="149"/>
      <c r="CK14" s="150"/>
      <c r="CL14" s="152"/>
      <c r="CM14" s="149"/>
      <c r="CN14" s="149">
        <v>6</v>
      </c>
      <c r="CO14" s="149"/>
      <c r="CP14" s="149"/>
      <c r="CQ14" s="149"/>
      <c r="CR14" s="149"/>
      <c r="CS14" s="149"/>
      <c r="CT14" s="150"/>
      <c r="CU14" s="152"/>
      <c r="CV14" s="149"/>
      <c r="CW14" s="149"/>
      <c r="CX14" s="149"/>
      <c r="CY14" s="149"/>
      <c r="CZ14" s="149"/>
      <c r="DA14" s="149"/>
      <c r="DB14" s="149"/>
      <c r="DC14" s="153"/>
    </row>
    <row r="15" spans="1:107" x14ac:dyDescent="0.2">
      <c r="A15" s="138">
        <v>11</v>
      </c>
      <c r="B15" s="139" t="s">
        <v>350</v>
      </c>
      <c r="C15" s="163">
        <v>15</v>
      </c>
      <c r="D15" s="163"/>
      <c r="E15" s="147">
        <f t="shared" si="0"/>
        <v>0</v>
      </c>
      <c r="F15" s="148"/>
      <c r="G15" s="149"/>
      <c r="H15" s="149"/>
      <c r="I15" s="149"/>
      <c r="J15" s="149"/>
      <c r="K15" s="149">
        <v>4</v>
      </c>
      <c r="L15" s="149"/>
      <c r="M15" s="149"/>
      <c r="N15" s="149"/>
      <c r="O15" s="150"/>
      <c r="P15" s="151"/>
      <c r="Q15" s="149"/>
      <c r="R15" s="149"/>
      <c r="S15" s="149"/>
      <c r="T15" s="149"/>
      <c r="U15" s="149">
        <v>4</v>
      </c>
      <c r="V15" s="149"/>
      <c r="W15" s="149"/>
      <c r="X15" s="149"/>
      <c r="Y15" s="150"/>
      <c r="Z15" s="152"/>
      <c r="AA15" s="149"/>
      <c r="AB15" s="149"/>
      <c r="AC15" s="149"/>
      <c r="AD15" s="149"/>
      <c r="AE15" s="149">
        <v>4</v>
      </c>
      <c r="AF15" s="149"/>
      <c r="AG15" s="149"/>
      <c r="AH15" s="149"/>
      <c r="AI15" s="153"/>
      <c r="AJ15" s="152"/>
      <c r="AK15" s="149"/>
      <c r="AL15" s="149"/>
      <c r="AM15" s="149"/>
      <c r="AN15" s="149"/>
      <c r="AO15" s="149"/>
      <c r="AP15" s="149"/>
      <c r="AQ15" s="149"/>
      <c r="AR15" s="150"/>
      <c r="AS15" s="152"/>
      <c r="AT15" s="149"/>
      <c r="AU15" s="149"/>
      <c r="AV15" s="149"/>
      <c r="AW15" s="149"/>
      <c r="AX15" s="149"/>
      <c r="AY15" s="149"/>
      <c r="AZ15" s="149"/>
      <c r="BA15" s="150"/>
      <c r="BB15" s="152"/>
      <c r="BC15" s="149"/>
      <c r="BD15" s="149"/>
      <c r="BE15" s="149"/>
      <c r="BF15" s="149"/>
      <c r="BG15" s="149"/>
      <c r="BH15" s="149"/>
      <c r="BI15" s="149"/>
      <c r="BJ15" s="150"/>
      <c r="BK15" s="152"/>
      <c r="BL15" s="149"/>
      <c r="BM15" s="149"/>
      <c r="BN15" s="149"/>
      <c r="BO15" s="149"/>
      <c r="BP15" s="149"/>
      <c r="BQ15" s="149"/>
      <c r="BR15" s="149"/>
      <c r="BS15" s="153"/>
      <c r="BT15" s="152"/>
      <c r="BU15" s="149"/>
      <c r="BV15" s="149"/>
      <c r="BW15" s="149"/>
      <c r="BX15" s="149"/>
      <c r="BY15" s="149"/>
      <c r="BZ15" s="149"/>
      <c r="CA15" s="149"/>
      <c r="CB15" s="150"/>
      <c r="CC15" s="152"/>
      <c r="CD15" s="149"/>
      <c r="CE15" s="149"/>
      <c r="CF15" s="149"/>
      <c r="CG15" s="149">
        <v>2</v>
      </c>
      <c r="CH15" s="149"/>
      <c r="CI15" s="149"/>
      <c r="CJ15" s="149"/>
      <c r="CK15" s="150">
        <v>1</v>
      </c>
      <c r="CL15" s="152"/>
      <c r="CM15" s="149"/>
      <c r="CN15" s="149"/>
      <c r="CO15" s="149"/>
      <c r="CP15" s="149"/>
      <c r="CQ15" s="149"/>
      <c r="CR15" s="149"/>
      <c r="CS15" s="149"/>
      <c r="CT15" s="150"/>
      <c r="CU15" s="152"/>
      <c r="CV15" s="149"/>
      <c r="CW15" s="149"/>
      <c r="CX15" s="149"/>
      <c r="CY15" s="149"/>
      <c r="CZ15" s="149"/>
      <c r="DA15" s="149"/>
      <c r="DB15" s="149"/>
      <c r="DC15" s="153"/>
    </row>
    <row r="16" spans="1:107" x14ac:dyDescent="0.2">
      <c r="A16" s="138">
        <v>12</v>
      </c>
      <c r="B16" s="139" t="s">
        <v>351</v>
      </c>
      <c r="C16" s="163">
        <v>12</v>
      </c>
      <c r="D16" s="163"/>
      <c r="E16" s="147">
        <f t="shared" si="0"/>
        <v>0</v>
      </c>
      <c r="F16" s="148"/>
      <c r="G16" s="149"/>
      <c r="H16" s="149"/>
      <c r="I16" s="149"/>
      <c r="J16" s="149"/>
      <c r="K16" s="149"/>
      <c r="L16" s="149"/>
      <c r="M16" s="149"/>
      <c r="N16" s="149"/>
      <c r="O16" s="150"/>
      <c r="P16" s="151"/>
      <c r="Q16" s="149"/>
      <c r="R16" s="149"/>
      <c r="S16" s="149"/>
      <c r="T16" s="149"/>
      <c r="U16" s="149"/>
      <c r="V16" s="149"/>
      <c r="W16" s="149"/>
      <c r="X16" s="149"/>
      <c r="Y16" s="150"/>
      <c r="Z16" s="152"/>
      <c r="AA16" s="149"/>
      <c r="AB16" s="149"/>
      <c r="AC16" s="149"/>
      <c r="AD16" s="149"/>
      <c r="AE16" s="149"/>
      <c r="AF16" s="149"/>
      <c r="AG16" s="149"/>
      <c r="AH16" s="149"/>
      <c r="AI16" s="153"/>
      <c r="AJ16" s="152"/>
      <c r="AK16" s="149"/>
      <c r="AL16" s="149"/>
      <c r="AM16" s="149"/>
      <c r="AN16" s="149"/>
      <c r="AO16" s="149"/>
      <c r="AP16" s="149"/>
      <c r="AQ16" s="149"/>
      <c r="AR16" s="150"/>
      <c r="AS16" s="152"/>
      <c r="AT16" s="149"/>
      <c r="AU16" s="149"/>
      <c r="AV16" s="149">
        <v>4</v>
      </c>
      <c r="AW16" s="149"/>
      <c r="AX16" s="149"/>
      <c r="AY16" s="149"/>
      <c r="AZ16" s="149"/>
      <c r="BA16" s="150"/>
      <c r="BB16" s="152"/>
      <c r="BC16" s="149"/>
      <c r="BD16" s="149"/>
      <c r="BE16" s="149">
        <v>4</v>
      </c>
      <c r="BF16" s="149"/>
      <c r="BG16" s="149"/>
      <c r="BH16" s="149"/>
      <c r="BI16" s="149"/>
      <c r="BJ16" s="150"/>
      <c r="BK16" s="152"/>
      <c r="BL16" s="149"/>
      <c r="BM16" s="149"/>
      <c r="BN16" s="149">
        <v>4</v>
      </c>
      <c r="BO16" s="149"/>
      <c r="BP16" s="149"/>
      <c r="BQ16" s="149"/>
      <c r="BR16" s="149"/>
      <c r="BS16" s="153"/>
      <c r="BT16" s="152"/>
      <c r="BU16" s="149"/>
      <c r="BV16" s="149"/>
      <c r="BW16" s="149"/>
      <c r="BX16" s="149"/>
      <c r="BY16" s="149"/>
      <c r="BZ16" s="149"/>
      <c r="CA16" s="149"/>
      <c r="CB16" s="150"/>
      <c r="CC16" s="152"/>
      <c r="CD16" s="149"/>
      <c r="CE16" s="149"/>
      <c r="CF16" s="149"/>
      <c r="CG16" s="149"/>
      <c r="CH16" s="149"/>
      <c r="CI16" s="149"/>
      <c r="CJ16" s="149"/>
      <c r="CK16" s="150"/>
      <c r="CL16" s="152"/>
      <c r="CM16" s="149"/>
      <c r="CN16" s="149"/>
      <c r="CO16" s="149"/>
      <c r="CP16" s="149"/>
      <c r="CQ16" s="149"/>
      <c r="CR16" s="149"/>
      <c r="CS16" s="149"/>
      <c r="CT16" s="150"/>
      <c r="CU16" s="152"/>
      <c r="CV16" s="149"/>
      <c r="CW16" s="149"/>
      <c r="CX16" s="149"/>
      <c r="CY16" s="149"/>
      <c r="CZ16" s="149"/>
      <c r="DA16" s="149"/>
      <c r="DB16" s="149"/>
      <c r="DC16" s="153"/>
    </row>
    <row r="17" spans="1:107" x14ac:dyDescent="0.2">
      <c r="A17" s="138">
        <v>13</v>
      </c>
      <c r="B17" s="139" t="s">
        <v>352</v>
      </c>
      <c r="C17" s="163">
        <v>14</v>
      </c>
      <c r="D17" s="163"/>
      <c r="E17" s="147">
        <f t="shared" si="0"/>
        <v>0</v>
      </c>
      <c r="F17" s="148"/>
      <c r="G17" s="149"/>
      <c r="H17" s="149"/>
      <c r="I17" s="149">
        <v>2</v>
      </c>
      <c r="J17" s="149"/>
      <c r="K17" s="149"/>
      <c r="L17" s="149"/>
      <c r="M17" s="149"/>
      <c r="N17" s="149"/>
      <c r="O17" s="150"/>
      <c r="P17" s="151"/>
      <c r="Q17" s="149"/>
      <c r="R17" s="149"/>
      <c r="S17" s="149"/>
      <c r="T17" s="149"/>
      <c r="U17" s="149"/>
      <c r="V17" s="149"/>
      <c r="W17" s="149"/>
      <c r="X17" s="149"/>
      <c r="Y17" s="150"/>
      <c r="Z17" s="152"/>
      <c r="AA17" s="149"/>
      <c r="AB17" s="149"/>
      <c r="AC17" s="149"/>
      <c r="AD17" s="149"/>
      <c r="AE17" s="149"/>
      <c r="AF17" s="149"/>
      <c r="AG17" s="149"/>
      <c r="AH17" s="149"/>
      <c r="AI17" s="153"/>
      <c r="AJ17" s="152"/>
      <c r="AK17" s="149"/>
      <c r="AL17" s="149"/>
      <c r="AM17" s="149"/>
      <c r="AN17" s="149"/>
      <c r="AO17" s="149"/>
      <c r="AP17" s="149"/>
      <c r="AQ17" s="149"/>
      <c r="AR17" s="150"/>
      <c r="AS17" s="152"/>
      <c r="AT17" s="149"/>
      <c r="AU17" s="149"/>
      <c r="AV17" s="149"/>
      <c r="AW17" s="149"/>
      <c r="AX17" s="149"/>
      <c r="AY17" s="149"/>
      <c r="AZ17" s="149"/>
      <c r="BA17" s="150"/>
      <c r="BB17" s="152"/>
      <c r="BC17" s="149"/>
      <c r="BD17" s="149"/>
      <c r="BE17" s="149"/>
      <c r="BF17" s="149"/>
      <c r="BG17" s="149"/>
      <c r="BH17" s="149"/>
      <c r="BI17" s="149"/>
      <c r="BJ17" s="150"/>
      <c r="BK17" s="152"/>
      <c r="BL17" s="149"/>
      <c r="BM17" s="149"/>
      <c r="BN17" s="149"/>
      <c r="BO17" s="149"/>
      <c r="BP17" s="149"/>
      <c r="BQ17" s="149"/>
      <c r="BR17" s="149"/>
      <c r="BS17" s="153"/>
      <c r="BT17" s="152"/>
      <c r="BU17" s="149"/>
      <c r="BV17" s="149"/>
      <c r="BW17" s="149"/>
      <c r="BX17" s="149"/>
      <c r="BY17" s="149"/>
      <c r="BZ17" s="149"/>
      <c r="CA17" s="149"/>
      <c r="CB17" s="150"/>
      <c r="CC17" s="152"/>
      <c r="CD17" s="149"/>
      <c r="CE17" s="149"/>
      <c r="CF17" s="149">
        <v>4</v>
      </c>
      <c r="CG17" s="149"/>
      <c r="CH17" s="149"/>
      <c r="CI17" s="149"/>
      <c r="CJ17" s="149"/>
      <c r="CK17" s="150"/>
      <c r="CL17" s="152"/>
      <c r="CM17" s="149"/>
      <c r="CN17" s="149"/>
      <c r="CO17" s="149">
        <v>4</v>
      </c>
      <c r="CP17" s="149"/>
      <c r="CQ17" s="149"/>
      <c r="CR17" s="149"/>
      <c r="CS17" s="149"/>
      <c r="CT17" s="150"/>
      <c r="CU17" s="152"/>
      <c r="CV17" s="149"/>
      <c r="CW17" s="149"/>
      <c r="CX17" s="149">
        <v>4</v>
      </c>
      <c r="CY17" s="149"/>
      <c r="CZ17" s="149"/>
      <c r="DA17" s="149"/>
      <c r="DB17" s="149"/>
      <c r="DC17" s="153"/>
    </row>
    <row r="18" spans="1:107" x14ac:dyDescent="0.2">
      <c r="A18" s="138">
        <v>14</v>
      </c>
      <c r="B18" s="139" t="s">
        <v>353</v>
      </c>
      <c r="C18" s="163">
        <v>15</v>
      </c>
      <c r="D18" s="163"/>
      <c r="E18" s="147">
        <f t="shared" si="0"/>
        <v>0</v>
      </c>
      <c r="F18" s="148"/>
      <c r="G18" s="149"/>
      <c r="H18" s="149"/>
      <c r="I18" s="149"/>
      <c r="J18" s="149">
        <v>2</v>
      </c>
      <c r="K18" s="149"/>
      <c r="L18" s="149"/>
      <c r="M18" s="149"/>
      <c r="N18" s="149"/>
      <c r="O18" s="150"/>
      <c r="P18" s="151"/>
      <c r="Q18" s="149"/>
      <c r="R18" s="149"/>
      <c r="S18" s="149"/>
      <c r="T18" s="149">
        <v>2</v>
      </c>
      <c r="U18" s="149"/>
      <c r="V18" s="149"/>
      <c r="W18" s="149"/>
      <c r="X18" s="149"/>
      <c r="Y18" s="150"/>
      <c r="Z18" s="152"/>
      <c r="AA18" s="149"/>
      <c r="AB18" s="149"/>
      <c r="AC18" s="149"/>
      <c r="AD18" s="149">
        <v>2</v>
      </c>
      <c r="AE18" s="149"/>
      <c r="AF18" s="149"/>
      <c r="AG18" s="149"/>
      <c r="AH18" s="149"/>
      <c r="AI18" s="153">
        <v>1</v>
      </c>
      <c r="AJ18" s="152"/>
      <c r="AK18" s="149"/>
      <c r="AL18" s="149"/>
      <c r="AM18" s="149"/>
      <c r="AN18" s="149">
        <v>2</v>
      </c>
      <c r="AO18" s="149"/>
      <c r="AP18" s="149"/>
      <c r="AQ18" s="149"/>
      <c r="AR18" s="150"/>
      <c r="AS18" s="152"/>
      <c r="AT18" s="149"/>
      <c r="AU18" s="149"/>
      <c r="AV18" s="149"/>
      <c r="AW18" s="149">
        <v>2</v>
      </c>
      <c r="AX18" s="149"/>
      <c r="AY18" s="149"/>
      <c r="AZ18" s="149"/>
      <c r="BA18" s="150"/>
      <c r="BB18" s="152"/>
      <c r="BC18" s="149"/>
      <c r="BD18" s="149"/>
      <c r="BE18" s="149"/>
      <c r="BF18" s="149">
        <v>2</v>
      </c>
      <c r="BG18" s="149"/>
      <c r="BH18" s="149"/>
      <c r="BI18" s="149"/>
      <c r="BJ18" s="150"/>
      <c r="BK18" s="152"/>
      <c r="BL18" s="149"/>
      <c r="BM18" s="149"/>
      <c r="BN18" s="149"/>
      <c r="BO18" s="149">
        <v>2</v>
      </c>
      <c r="BP18" s="149"/>
      <c r="BQ18" s="149"/>
      <c r="BR18" s="149"/>
      <c r="BS18" s="153"/>
      <c r="BT18" s="152"/>
      <c r="BU18" s="149"/>
      <c r="BV18" s="149"/>
      <c r="BW18" s="149"/>
      <c r="BX18" s="149"/>
      <c r="BY18" s="149"/>
      <c r="BZ18" s="149"/>
      <c r="CA18" s="149"/>
      <c r="CB18" s="150"/>
      <c r="CC18" s="152"/>
      <c r="CD18" s="149"/>
      <c r="CE18" s="149"/>
      <c r="CF18" s="149"/>
      <c r="CG18" s="149"/>
      <c r="CH18" s="149"/>
      <c r="CI18" s="149"/>
      <c r="CJ18" s="149"/>
      <c r="CK18" s="150"/>
      <c r="CL18" s="152"/>
      <c r="CM18" s="149"/>
      <c r="CN18" s="149"/>
      <c r="CO18" s="149"/>
      <c r="CP18" s="149"/>
      <c r="CQ18" s="149"/>
      <c r="CR18" s="149"/>
      <c r="CS18" s="149"/>
      <c r="CT18" s="150"/>
      <c r="CU18" s="152"/>
      <c r="CV18" s="149"/>
      <c r="CW18" s="149"/>
      <c r="CX18" s="149"/>
      <c r="CY18" s="149"/>
      <c r="CZ18" s="149"/>
      <c r="DA18" s="149"/>
      <c r="DB18" s="149"/>
      <c r="DC18" s="153"/>
    </row>
    <row r="19" spans="1:107" x14ac:dyDescent="0.2">
      <c r="A19" s="138">
        <v>15</v>
      </c>
      <c r="B19" s="139" t="s">
        <v>354</v>
      </c>
      <c r="C19" s="163">
        <v>30</v>
      </c>
      <c r="D19" s="163"/>
      <c r="E19" s="147">
        <f t="shared" si="0"/>
        <v>0</v>
      </c>
      <c r="F19" s="148"/>
      <c r="G19" s="149"/>
      <c r="H19" s="149"/>
      <c r="I19" s="149"/>
      <c r="J19" s="149"/>
      <c r="K19" s="149"/>
      <c r="L19" s="149"/>
      <c r="M19" s="149"/>
      <c r="N19" s="149"/>
      <c r="O19" s="150"/>
      <c r="P19" s="151"/>
      <c r="Q19" s="149"/>
      <c r="R19" s="149"/>
      <c r="S19" s="149"/>
      <c r="T19" s="149"/>
      <c r="U19" s="149"/>
      <c r="V19" s="149">
        <v>3</v>
      </c>
      <c r="W19" s="149"/>
      <c r="X19" s="149"/>
      <c r="Y19" s="150"/>
      <c r="Z19" s="152"/>
      <c r="AA19" s="149"/>
      <c r="AB19" s="149"/>
      <c r="AC19" s="149"/>
      <c r="AD19" s="149"/>
      <c r="AE19" s="149"/>
      <c r="AF19" s="149">
        <v>3</v>
      </c>
      <c r="AG19" s="149"/>
      <c r="AH19" s="149"/>
      <c r="AI19" s="153"/>
      <c r="AJ19" s="152"/>
      <c r="AK19" s="149"/>
      <c r="AL19" s="149"/>
      <c r="AM19" s="149"/>
      <c r="AN19" s="149"/>
      <c r="AO19" s="149">
        <v>3</v>
      </c>
      <c r="AP19" s="149"/>
      <c r="AQ19" s="149"/>
      <c r="AR19" s="150"/>
      <c r="AS19" s="152"/>
      <c r="AT19" s="149"/>
      <c r="AU19" s="149"/>
      <c r="AV19" s="149"/>
      <c r="AW19" s="149"/>
      <c r="AX19" s="149">
        <v>3</v>
      </c>
      <c r="AY19" s="149"/>
      <c r="AZ19" s="149"/>
      <c r="BA19" s="150"/>
      <c r="BB19" s="152"/>
      <c r="BC19" s="149"/>
      <c r="BD19" s="149"/>
      <c r="BE19" s="149"/>
      <c r="BF19" s="149"/>
      <c r="BG19" s="149">
        <v>3</v>
      </c>
      <c r="BH19" s="149"/>
      <c r="BI19" s="149"/>
      <c r="BJ19" s="150"/>
      <c r="BK19" s="152"/>
      <c r="BL19" s="149"/>
      <c r="BM19" s="149"/>
      <c r="BN19" s="149"/>
      <c r="BO19" s="149"/>
      <c r="BP19" s="149">
        <v>3</v>
      </c>
      <c r="BQ19" s="149"/>
      <c r="BR19" s="149"/>
      <c r="BS19" s="153"/>
      <c r="BT19" s="152"/>
      <c r="BU19" s="149"/>
      <c r="BV19" s="149"/>
      <c r="BW19" s="149"/>
      <c r="BX19" s="149"/>
      <c r="BY19" s="149">
        <v>3</v>
      </c>
      <c r="BZ19" s="149"/>
      <c r="CA19" s="149"/>
      <c r="CB19" s="150"/>
      <c r="CC19" s="152"/>
      <c r="CD19" s="149"/>
      <c r="CE19" s="149"/>
      <c r="CF19" s="149"/>
      <c r="CG19" s="149"/>
      <c r="CH19" s="149">
        <v>3</v>
      </c>
      <c r="CI19" s="149"/>
      <c r="CJ19" s="149"/>
      <c r="CK19" s="150"/>
      <c r="CL19" s="152"/>
      <c r="CM19" s="149"/>
      <c r="CN19" s="149"/>
      <c r="CO19" s="149"/>
      <c r="CP19" s="149"/>
      <c r="CQ19" s="149">
        <v>3</v>
      </c>
      <c r="CR19" s="149"/>
      <c r="CS19" s="149"/>
      <c r="CT19" s="150"/>
      <c r="CU19" s="152"/>
      <c r="CV19" s="149"/>
      <c r="CW19" s="149"/>
      <c r="CX19" s="149"/>
      <c r="CY19" s="149"/>
      <c r="CZ19" s="149">
        <v>3</v>
      </c>
      <c r="DA19" s="149"/>
      <c r="DB19" s="149"/>
      <c r="DC19" s="153"/>
    </row>
    <row r="20" spans="1:107" x14ac:dyDescent="0.2">
      <c r="A20" s="138">
        <v>16</v>
      </c>
      <c r="B20" s="139" t="s">
        <v>355</v>
      </c>
      <c r="C20" s="163">
        <v>6</v>
      </c>
      <c r="D20" s="163"/>
      <c r="E20" s="147">
        <f t="shared" si="0"/>
        <v>0</v>
      </c>
      <c r="F20" s="148"/>
      <c r="G20" s="149"/>
      <c r="H20" s="149"/>
      <c r="I20" s="149"/>
      <c r="J20" s="149"/>
      <c r="K20" s="149"/>
      <c r="L20" s="149"/>
      <c r="M20" s="149">
        <v>2</v>
      </c>
      <c r="N20" s="149"/>
      <c r="O20" s="150"/>
      <c r="P20" s="151"/>
      <c r="Q20" s="149"/>
      <c r="R20" s="149"/>
      <c r="S20" s="149"/>
      <c r="T20" s="149"/>
      <c r="U20" s="149"/>
      <c r="V20" s="149"/>
      <c r="W20" s="149">
        <v>2</v>
      </c>
      <c r="X20" s="149"/>
      <c r="Y20" s="150"/>
      <c r="Z20" s="152"/>
      <c r="AA20" s="149"/>
      <c r="AB20" s="149"/>
      <c r="AC20" s="149"/>
      <c r="AD20" s="149"/>
      <c r="AE20" s="149"/>
      <c r="AF20" s="149"/>
      <c r="AG20" s="149">
        <v>2</v>
      </c>
      <c r="AH20" s="149"/>
      <c r="AI20" s="153"/>
      <c r="AJ20" s="152"/>
      <c r="AK20" s="149"/>
      <c r="AL20" s="149"/>
      <c r="AM20" s="149"/>
      <c r="AN20" s="149"/>
      <c r="AO20" s="149"/>
      <c r="AP20" s="149"/>
      <c r="AQ20" s="149"/>
      <c r="AR20" s="150"/>
      <c r="AS20" s="152"/>
      <c r="AT20" s="149"/>
      <c r="AU20" s="149"/>
      <c r="AV20" s="149"/>
      <c r="AW20" s="149"/>
      <c r="AX20" s="149"/>
      <c r="AY20" s="149"/>
      <c r="AZ20" s="149"/>
      <c r="BA20" s="150"/>
      <c r="BB20" s="152"/>
      <c r="BC20" s="149"/>
      <c r="BD20" s="149"/>
      <c r="BE20" s="149"/>
      <c r="BF20" s="149"/>
      <c r="BG20" s="149"/>
      <c r="BH20" s="149"/>
      <c r="BI20" s="149"/>
      <c r="BJ20" s="150"/>
      <c r="BK20" s="152"/>
      <c r="BL20" s="149"/>
      <c r="BM20" s="149"/>
      <c r="BN20" s="149"/>
      <c r="BO20" s="149"/>
      <c r="BP20" s="149"/>
      <c r="BQ20" s="149"/>
      <c r="BR20" s="149"/>
      <c r="BS20" s="153"/>
      <c r="BT20" s="152"/>
      <c r="BU20" s="149"/>
      <c r="BV20" s="149"/>
      <c r="BW20" s="149"/>
      <c r="BX20" s="149"/>
      <c r="BY20" s="149"/>
      <c r="BZ20" s="149"/>
      <c r="CA20" s="149"/>
      <c r="CB20" s="150"/>
      <c r="CC20" s="152"/>
      <c r="CD20" s="149"/>
      <c r="CE20" s="149"/>
      <c r="CF20" s="149"/>
      <c r="CG20" s="149"/>
      <c r="CH20" s="149"/>
      <c r="CI20" s="149"/>
      <c r="CJ20" s="149"/>
      <c r="CK20" s="150"/>
      <c r="CL20" s="152"/>
      <c r="CM20" s="149"/>
      <c r="CN20" s="149"/>
      <c r="CO20" s="149"/>
      <c r="CP20" s="149"/>
      <c r="CQ20" s="149"/>
      <c r="CR20" s="149"/>
      <c r="CS20" s="149"/>
      <c r="CT20" s="150"/>
      <c r="CU20" s="152"/>
      <c r="CV20" s="149"/>
      <c r="CW20" s="149"/>
      <c r="CX20" s="149"/>
      <c r="CY20" s="149"/>
      <c r="CZ20" s="149"/>
      <c r="DA20" s="149"/>
      <c r="DB20" s="149"/>
      <c r="DC20" s="153"/>
    </row>
    <row r="21" spans="1:107" x14ac:dyDescent="0.2">
      <c r="A21" s="138">
        <v>17</v>
      </c>
      <c r="B21" s="139" t="s">
        <v>356</v>
      </c>
      <c r="C21" s="163">
        <v>4</v>
      </c>
      <c r="D21" s="163"/>
      <c r="E21" s="147">
        <f t="shared" si="0"/>
        <v>0</v>
      </c>
      <c r="F21" s="148"/>
      <c r="G21" s="149"/>
      <c r="H21" s="149"/>
      <c r="I21" s="149"/>
      <c r="J21" s="149"/>
      <c r="K21" s="149"/>
      <c r="L21" s="149"/>
      <c r="M21" s="149"/>
      <c r="N21" s="149"/>
      <c r="O21" s="150"/>
      <c r="P21" s="151"/>
      <c r="Q21" s="149"/>
      <c r="R21" s="149"/>
      <c r="S21" s="149"/>
      <c r="T21" s="149"/>
      <c r="U21" s="149"/>
      <c r="V21" s="149"/>
      <c r="W21" s="149"/>
      <c r="X21" s="149"/>
      <c r="Y21" s="150"/>
      <c r="Z21" s="152"/>
      <c r="AA21" s="149"/>
      <c r="AB21" s="149"/>
      <c r="AC21" s="149"/>
      <c r="AD21" s="149"/>
      <c r="AE21" s="149"/>
      <c r="AF21" s="149"/>
      <c r="AG21" s="149"/>
      <c r="AH21" s="149"/>
      <c r="AI21" s="153"/>
      <c r="AJ21" s="152"/>
      <c r="AK21" s="149"/>
      <c r="AL21" s="149"/>
      <c r="AM21" s="149"/>
      <c r="AN21" s="149"/>
      <c r="AO21" s="149"/>
      <c r="AP21" s="149">
        <v>2</v>
      </c>
      <c r="AQ21" s="149"/>
      <c r="AR21" s="150"/>
      <c r="AS21" s="152"/>
      <c r="AT21" s="149"/>
      <c r="AU21" s="149"/>
      <c r="AV21" s="149"/>
      <c r="AW21" s="149"/>
      <c r="AX21" s="149"/>
      <c r="AY21" s="149">
        <v>2</v>
      </c>
      <c r="AZ21" s="149"/>
      <c r="BA21" s="150"/>
      <c r="BB21" s="152"/>
      <c r="BC21" s="149"/>
      <c r="BD21" s="149"/>
      <c r="BE21" s="149"/>
      <c r="BF21" s="149"/>
      <c r="BG21" s="149"/>
      <c r="BH21" s="149"/>
      <c r="BI21" s="149"/>
      <c r="BJ21" s="150"/>
      <c r="BK21" s="152"/>
      <c r="BL21" s="149"/>
      <c r="BM21" s="149"/>
      <c r="BN21" s="149"/>
      <c r="BO21" s="149"/>
      <c r="BP21" s="149"/>
      <c r="BQ21" s="149"/>
      <c r="BR21" s="149"/>
      <c r="BS21" s="153"/>
      <c r="BT21" s="152"/>
      <c r="BU21" s="149"/>
      <c r="BV21" s="149"/>
      <c r="BW21" s="149"/>
      <c r="BX21" s="149"/>
      <c r="BY21" s="149"/>
      <c r="BZ21" s="149"/>
      <c r="CA21" s="149"/>
      <c r="CB21" s="150"/>
      <c r="CC21" s="152"/>
      <c r="CD21" s="149"/>
      <c r="CE21" s="149"/>
      <c r="CF21" s="149"/>
      <c r="CG21" s="149"/>
      <c r="CH21" s="149"/>
      <c r="CI21" s="149"/>
      <c r="CJ21" s="149"/>
      <c r="CK21" s="150"/>
      <c r="CL21" s="152"/>
      <c r="CM21" s="149"/>
      <c r="CN21" s="149"/>
      <c r="CO21" s="149"/>
      <c r="CP21" s="149"/>
      <c r="CQ21" s="149"/>
      <c r="CR21" s="149"/>
      <c r="CS21" s="149"/>
      <c r="CT21" s="150"/>
      <c r="CU21" s="152"/>
      <c r="CV21" s="149"/>
      <c r="CW21" s="149"/>
      <c r="CX21" s="149"/>
      <c r="CY21" s="149"/>
      <c r="CZ21" s="149"/>
      <c r="DA21" s="149"/>
      <c r="DB21" s="149"/>
      <c r="DC21" s="153"/>
    </row>
    <row r="22" spans="1:107" x14ac:dyDescent="0.2">
      <c r="A22" s="138">
        <v>18</v>
      </c>
      <c r="B22" s="139" t="s">
        <v>357</v>
      </c>
      <c r="C22" s="163">
        <v>10</v>
      </c>
      <c r="D22" s="163"/>
      <c r="E22" s="147">
        <f t="shared" si="0"/>
        <v>0</v>
      </c>
      <c r="F22" s="148"/>
      <c r="G22" s="149"/>
      <c r="H22" s="149"/>
      <c r="I22" s="149"/>
      <c r="J22" s="149"/>
      <c r="K22" s="149"/>
      <c r="L22" s="149"/>
      <c r="M22" s="149"/>
      <c r="N22" s="149"/>
      <c r="O22" s="150"/>
      <c r="P22" s="151"/>
      <c r="Q22" s="149"/>
      <c r="R22" s="149"/>
      <c r="S22" s="149"/>
      <c r="T22" s="149"/>
      <c r="U22" s="149"/>
      <c r="V22" s="149"/>
      <c r="W22" s="149"/>
      <c r="X22" s="149"/>
      <c r="Y22" s="150"/>
      <c r="Z22" s="152"/>
      <c r="AA22" s="149"/>
      <c r="AB22" s="149"/>
      <c r="AC22" s="149"/>
      <c r="AD22" s="149"/>
      <c r="AE22" s="149"/>
      <c r="AF22" s="149"/>
      <c r="AG22" s="149"/>
      <c r="AH22" s="149"/>
      <c r="AI22" s="153"/>
      <c r="AJ22" s="152"/>
      <c r="AK22" s="149"/>
      <c r="AL22" s="149"/>
      <c r="AM22" s="149"/>
      <c r="AN22" s="149"/>
      <c r="AO22" s="149"/>
      <c r="AP22" s="149"/>
      <c r="AQ22" s="149"/>
      <c r="AR22" s="150"/>
      <c r="AS22" s="152"/>
      <c r="AT22" s="149"/>
      <c r="AU22" s="149"/>
      <c r="AV22" s="149"/>
      <c r="AW22" s="149"/>
      <c r="AX22" s="149"/>
      <c r="AY22" s="149"/>
      <c r="AZ22" s="149"/>
      <c r="BA22" s="150"/>
      <c r="BB22" s="152"/>
      <c r="BC22" s="149"/>
      <c r="BD22" s="149"/>
      <c r="BE22" s="149"/>
      <c r="BF22" s="149"/>
      <c r="BG22" s="149"/>
      <c r="BH22" s="149"/>
      <c r="BI22" s="149"/>
      <c r="BJ22" s="150"/>
      <c r="BK22" s="152"/>
      <c r="BL22" s="149"/>
      <c r="BM22" s="149"/>
      <c r="BN22" s="149"/>
      <c r="BO22" s="149"/>
      <c r="BP22" s="149"/>
      <c r="BQ22" s="149">
        <v>2</v>
      </c>
      <c r="BR22" s="149"/>
      <c r="BS22" s="153"/>
      <c r="BT22" s="152"/>
      <c r="BU22" s="149"/>
      <c r="BV22" s="149"/>
      <c r="BW22" s="149"/>
      <c r="BX22" s="149"/>
      <c r="BY22" s="149"/>
      <c r="BZ22" s="149">
        <v>2</v>
      </c>
      <c r="CA22" s="149"/>
      <c r="CB22" s="150"/>
      <c r="CC22" s="152"/>
      <c r="CD22" s="149"/>
      <c r="CE22" s="149"/>
      <c r="CF22" s="149"/>
      <c r="CG22" s="149"/>
      <c r="CH22" s="149"/>
      <c r="CI22" s="149">
        <v>2</v>
      </c>
      <c r="CJ22" s="149"/>
      <c r="CK22" s="150"/>
      <c r="CL22" s="152"/>
      <c r="CM22" s="149"/>
      <c r="CN22" s="149"/>
      <c r="CO22" s="149"/>
      <c r="CP22" s="149"/>
      <c r="CQ22" s="149"/>
      <c r="CR22" s="149">
        <v>2</v>
      </c>
      <c r="CS22" s="149"/>
      <c r="CT22" s="150"/>
      <c r="CU22" s="152"/>
      <c r="CV22" s="149"/>
      <c r="CW22" s="149"/>
      <c r="CX22" s="149"/>
      <c r="CY22" s="149"/>
      <c r="CZ22" s="149"/>
      <c r="DA22" s="149">
        <v>2</v>
      </c>
      <c r="DB22" s="149"/>
      <c r="DC22" s="153"/>
    </row>
    <row r="23" spans="1:107" x14ac:dyDescent="0.2">
      <c r="A23" s="138">
        <v>19</v>
      </c>
      <c r="B23" s="139" t="s">
        <v>358</v>
      </c>
      <c r="C23" s="163">
        <v>10</v>
      </c>
      <c r="D23" s="163"/>
      <c r="E23" s="147">
        <f t="shared" si="0"/>
        <v>4</v>
      </c>
      <c r="F23" s="148"/>
      <c r="G23" s="149"/>
      <c r="H23" s="149"/>
      <c r="I23" s="149"/>
      <c r="J23" s="149"/>
      <c r="K23" s="149"/>
      <c r="L23" s="149"/>
      <c r="M23" s="149"/>
      <c r="N23" s="149"/>
      <c r="O23" s="150"/>
      <c r="P23" s="151"/>
      <c r="Q23" s="149"/>
      <c r="R23" s="149"/>
      <c r="S23" s="149"/>
      <c r="T23" s="149"/>
      <c r="U23" s="149"/>
      <c r="V23" s="149"/>
      <c r="W23" s="149"/>
      <c r="X23" s="149"/>
      <c r="Y23" s="150"/>
      <c r="Z23" s="152"/>
      <c r="AA23" s="149"/>
      <c r="AB23" s="149"/>
      <c r="AC23" s="149"/>
      <c r="AD23" s="149"/>
      <c r="AE23" s="149"/>
      <c r="AF23" s="149"/>
      <c r="AG23" s="149"/>
      <c r="AH23" s="149"/>
      <c r="AI23" s="153"/>
      <c r="AJ23" s="152"/>
      <c r="AK23" s="149"/>
      <c r="AL23" s="149"/>
      <c r="AM23" s="149"/>
      <c r="AN23" s="149"/>
      <c r="AO23" s="149"/>
      <c r="AP23" s="149"/>
      <c r="AQ23" s="149"/>
      <c r="AR23" s="150"/>
      <c r="AS23" s="152"/>
      <c r="AT23" s="149">
        <v>5</v>
      </c>
      <c r="AU23" s="149"/>
      <c r="AV23" s="149"/>
      <c r="AW23" s="149"/>
      <c r="AX23" s="149"/>
      <c r="AY23" s="149"/>
      <c r="AZ23" s="149"/>
      <c r="BA23" s="150">
        <v>1</v>
      </c>
      <c r="BB23" s="152"/>
      <c r="BC23" s="149"/>
      <c r="BD23" s="149"/>
      <c r="BE23" s="149"/>
      <c r="BF23" s="149"/>
      <c r="BG23" s="149"/>
      <c r="BH23" s="149"/>
      <c r="BI23" s="149"/>
      <c r="BJ23" s="150"/>
      <c r="BK23" s="152"/>
      <c r="BL23" s="149"/>
      <c r="BM23" s="149"/>
      <c r="BN23" s="149"/>
      <c r="BO23" s="149"/>
      <c r="BP23" s="149"/>
      <c r="BQ23" s="149"/>
      <c r="BR23" s="149"/>
      <c r="BS23" s="153"/>
      <c r="BT23" s="152"/>
      <c r="BU23" s="149"/>
      <c r="BV23" s="149"/>
      <c r="BW23" s="149"/>
      <c r="BX23" s="149"/>
      <c r="BY23" s="149"/>
      <c r="BZ23" s="149"/>
      <c r="CA23" s="149"/>
      <c r="CB23" s="150"/>
      <c r="CC23" s="152"/>
      <c r="CD23" s="149"/>
      <c r="CE23" s="149"/>
      <c r="CF23" s="149"/>
      <c r="CG23" s="149"/>
      <c r="CH23" s="149"/>
      <c r="CI23" s="149"/>
      <c r="CJ23" s="149"/>
      <c r="CK23" s="150"/>
      <c r="CL23" s="152"/>
      <c r="CM23" s="149"/>
      <c r="CN23" s="149"/>
      <c r="CO23" s="149"/>
      <c r="CP23" s="149"/>
      <c r="CQ23" s="149"/>
      <c r="CR23" s="149"/>
      <c r="CS23" s="149"/>
      <c r="CT23" s="150"/>
      <c r="CU23" s="152"/>
      <c r="CV23" s="149"/>
      <c r="CW23" s="149"/>
      <c r="CX23" s="149"/>
      <c r="CY23" s="149"/>
      <c r="CZ23" s="149"/>
      <c r="DA23" s="149"/>
      <c r="DB23" s="149"/>
      <c r="DC23" s="153"/>
    </row>
    <row r="24" spans="1:107" x14ac:dyDescent="0.2">
      <c r="A24" s="138">
        <v>20</v>
      </c>
      <c r="B24" s="139" t="s">
        <v>359</v>
      </c>
      <c r="C24" s="163">
        <v>3</v>
      </c>
      <c r="D24" s="163"/>
      <c r="E24" s="147">
        <f t="shared" si="0"/>
        <v>0</v>
      </c>
      <c r="F24" s="148"/>
      <c r="G24" s="149"/>
      <c r="H24" s="149"/>
      <c r="I24" s="149"/>
      <c r="J24" s="149"/>
      <c r="K24" s="149"/>
      <c r="L24" s="149"/>
      <c r="M24" s="149"/>
      <c r="N24" s="149"/>
      <c r="O24" s="150"/>
      <c r="P24" s="151"/>
      <c r="Q24" s="149"/>
      <c r="R24" s="149"/>
      <c r="S24" s="149">
        <v>2</v>
      </c>
      <c r="T24" s="149"/>
      <c r="U24" s="149"/>
      <c r="V24" s="149"/>
      <c r="W24" s="149"/>
      <c r="X24" s="149"/>
      <c r="Y24" s="150">
        <v>1</v>
      </c>
      <c r="Z24" s="152"/>
      <c r="AA24" s="149"/>
      <c r="AB24" s="149"/>
      <c r="AC24" s="149"/>
      <c r="AD24" s="149"/>
      <c r="AE24" s="149"/>
      <c r="AF24" s="149"/>
      <c r="AG24" s="149"/>
      <c r="AH24" s="149"/>
      <c r="AI24" s="153"/>
      <c r="AJ24" s="152"/>
      <c r="AK24" s="149"/>
      <c r="AL24" s="149"/>
      <c r="AM24" s="149"/>
      <c r="AN24" s="149"/>
      <c r="AO24" s="149"/>
      <c r="AP24" s="149"/>
      <c r="AQ24" s="149"/>
      <c r="AR24" s="150"/>
      <c r="AS24" s="152"/>
      <c r="AT24" s="149"/>
      <c r="AU24" s="149"/>
      <c r="AV24" s="149"/>
      <c r="AW24" s="149"/>
      <c r="AX24" s="149"/>
      <c r="AY24" s="149"/>
      <c r="AZ24" s="149"/>
      <c r="BA24" s="150"/>
      <c r="BB24" s="152"/>
      <c r="BC24" s="149"/>
      <c r="BD24" s="149"/>
      <c r="BE24" s="149"/>
      <c r="BF24" s="149"/>
      <c r="BG24" s="149"/>
      <c r="BH24" s="149"/>
      <c r="BI24" s="149"/>
      <c r="BJ24" s="150"/>
      <c r="BK24" s="152"/>
      <c r="BL24" s="149"/>
      <c r="BM24" s="149"/>
      <c r="BN24" s="149"/>
      <c r="BO24" s="149"/>
      <c r="BP24" s="149"/>
      <c r="BQ24" s="149"/>
      <c r="BR24" s="149"/>
      <c r="BS24" s="153"/>
      <c r="BT24" s="152"/>
      <c r="BU24" s="149"/>
      <c r="BV24" s="149"/>
      <c r="BW24" s="149"/>
      <c r="BX24" s="149"/>
      <c r="BY24" s="149"/>
      <c r="BZ24" s="149"/>
      <c r="CA24" s="149"/>
      <c r="CB24" s="150"/>
      <c r="CC24" s="152"/>
      <c r="CD24" s="149"/>
      <c r="CE24" s="149"/>
      <c r="CF24" s="149"/>
      <c r="CG24" s="149"/>
      <c r="CH24" s="149"/>
      <c r="CI24" s="149"/>
      <c r="CJ24" s="149"/>
      <c r="CK24" s="150"/>
      <c r="CL24" s="152"/>
      <c r="CM24" s="149"/>
      <c r="CN24" s="149"/>
      <c r="CO24" s="149"/>
      <c r="CP24" s="149"/>
      <c r="CQ24" s="149"/>
      <c r="CR24" s="149"/>
      <c r="CS24" s="149"/>
      <c r="CT24" s="150"/>
      <c r="CU24" s="152"/>
      <c r="CV24" s="149"/>
      <c r="CW24" s="149"/>
      <c r="CX24" s="149"/>
      <c r="CY24" s="149"/>
      <c r="CZ24" s="149"/>
      <c r="DA24" s="149"/>
      <c r="DB24" s="149"/>
      <c r="DC24" s="153"/>
    </row>
    <row r="25" spans="1:107" x14ac:dyDescent="0.2">
      <c r="A25" s="138">
        <v>21</v>
      </c>
      <c r="B25" s="139" t="s">
        <v>360</v>
      </c>
      <c r="C25" s="163">
        <v>6</v>
      </c>
      <c r="D25" s="163"/>
      <c r="E25" s="147">
        <f t="shared" ref="E25" si="1">C25-SUM(F25:DC25)</f>
        <v>0</v>
      </c>
      <c r="F25" s="148"/>
      <c r="G25" s="149"/>
      <c r="H25" s="149"/>
      <c r="I25" s="149"/>
      <c r="J25" s="149"/>
      <c r="K25" s="149"/>
      <c r="L25" s="149"/>
      <c r="M25" s="149"/>
      <c r="N25" s="149"/>
      <c r="O25" s="150"/>
      <c r="P25" s="151"/>
      <c r="Q25" s="149"/>
      <c r="R25" s="149"/>
      <c r="S25" s="149"/>
      <c r="T25" s="149"/>
      <c r="U25" s="149"/>
      <c r="V25" s="149"/>
      <c r="W25" s="149"/>
      <c r="X25" s="149"/>
      <c r="Y25" s="150"/>
      <c r="Z25" s="152"/>
      <c r="AA25" s="149"/>
      <c r="AB25" s="149"/>
      <c r="AC25" s="149"/>
      <c r="AD25" s="149"/>
      <c r="AE25" s="149"/>
      <c r="AF25" s="149"/>
      <c r="AG25" s="149"/>
      <c r="AH25" s="149"/>
      <c r="AI25" s="153"/>
      <c r="AJ25" s="152"/>
      <c r="AK25" s="149"/>
      <c r="AL25" s="149"/>
      <c r="AM25" s="149"/>
      <c r="AN25" s="149"/>
      <c r="AO25" s="149"/>
      <c r="AP25" s="149"/>
      <c r="AQ25" s="149"/>
      <c r="AR25" s="150"/>
      <c r="AS25" s="152"/>
      <c r="AT25" s="149"/>
      <c r="AU25" s="149"/>
      <c r="AV25" s="149"/>
      <c r="AW25" s="149"/>
      <c r="AX25" s="149"/>
      <c r="AY25" s="149"/>
      <c r="AZ25" s="149"/>
      <c r="BA25" s="150"/>
      <c r="BB25" s="152"/>
      <c r="BC25" s="149"/>
      <c r="BD25" s="149"/>
      <c r="BE25" s="149"/>
      <c r="BF25" s="149"/>
      <c r="BG25" s="149"/>
      <c r="BH25" s="149"/>
      <c r="BI25" s="149"/>
      <c r="BJ25" s="150"/>
      <c r="BK25" s="152"/>
      <c r="BL25" s="149"/>
      <c r="BM25" s="149"/>
      <c r="BN25" s="149"/>
      <c r="BO25" s="149"/>
      <c r="BP25" s="149"/>
      <c r="BQ25" s="149"/>
      <c r="BR25" s="149"/>
      <c r="BS25" s="153"/>
      <c r="BT25" s="152"/>
      <c r="BU25" s="149"/>
      <c r="BV25" s="149"/>
      <c r="BW25" s="149"/>
      <c r="BX25" s="149">
        <v>2</v>
      </c>
      <c r="BY25" s="149"/>
      <c r="BZ25" s="149"/>
      <c r="CA25" s="149"/>
      <c r="CB25" s="150"/>
      <c r="CC25" s="152"/>
      <c r="CD25" s="149"/>
      <c r="CE25" s="149"/>
      <c r="CF25" s="149"/>
      <c r="CG25" s="149"/>
      <c r="CH25" s="149"/>
      <c r="CI25" s="149"/>
      <c r="CJ25" s="149"/>
      <c r="CK25" s="150"/>
      <c r="CL25" s="152"/>
      <c r="CM25" s="149"/>
      <c r="CN25" s="149"/>
      <c r="CO25" s="149"/>
      <c r="CP25" s="149">
        <v>2</v>
      </c>
      <c r="CQ25" s="149"/>
      <c r="CR25" s="149"/>
      <c r="CS25" s="149"/>
      <c r="CT25" s="150"/>
      <c r="CU25" s="152"/>
      <c r="CV25" s="149"/>
      <c r="CW25" s="149"/>
      <c r="CX25" s="149"/>
      <c r="CY25" s="149">
        <v>2</v>
      </c>
      <c r="CZ25" s="149"/>
      <c r="DA25" s="149"/>
      <c r="DB25" s="149"/>
      <c r="DC25" s="153"/>
    </row>
    <row r="26" spans="1:107" x14ac:dyDescent="0.2">
      <c r="A26" s="138">
        <v>21</v>
      </c>
      <c r="B26" s="139" t="s">
        <v>375</v>
      </c>
      <c r="C26" s="163"/>
      <c r="D26" s="163"/>
      <c r="E26" s="147">
        <f t="shared" ref="E26" si="2">C26-SUM(F26:DC26)</f>
        <v>0</v>
      </c>
      <c r="F26" s="148"/>
      <c r="G26" s="149"/>
      <c r="H26" s="149"/>
      <c r="I26" s="149"/>
      <c r="J26" s="149"/>
      <c r="K26" s="149"/>
      <c r="L26" s="149"/>
      <c r="M26" s="149"/>
      <c r="N26" s="149"/>
      <c r="O26" s="150"/>
      <c r="P26" s="151"/>
      <c r="Q26" s="149"/>
      <c r="R26" s="149"/>
      <c r="S26" s="149"/>
      <c r="T26" s="149"/>
      <c r="U26" s="149"/>
      <c r="V26" s="149"/>
      <c r="W26" s="149"/>
      <c r="X26" s="149"/>
      <c r="Y26" s="150"/>
      <c r="Z26" s="152"/>
      <c r="AA26" s="149"/>
      <c r="AB26" s="149"/>
      <c r="AC26" s="149"/>
      <c r="AD26" s="149"/>
      <c r="AE26" s="149"/>
      <c r="AF26" s="149"/>
      <c r="AG26" s="149"/>
      <c r="AH26" s="149"/>
      <c r="AI26" s="153"/>
      <c r="AJ26" s="152"/>
      <c r="AK26" s="149"/>
      <c r="AL26" s="149"/>
      <c r="AM26" s="149"/>
      <c r="AN26" s="149"/>
      <c r="AO26" s="149"/>
      <c r="AP26" s="149"/>
      <c r="AQ26" s="149"/>
      <c r="AR26" s="150"/>
      <c r="AS26" s="152"/>
      <c r="AT26" s="149"/>
      <c r="AU26" s="149"/>
      <c r="AV26" s="149"/>
      <c r="AW26" s="149"/>
      <c r="AX26" s="149"/>
      <c r="AY26" s="149"/>
      <c r="AZ26" s="149"/>
      <c r="BA26" s="150"/>
      <c r="BB26" s="152"/>
      <c r="BC26" s="149"/>
      <c r="BD26" s="149"/>
      <c r="BE26" s="149"/>
      <c r="BF26" s="149"/>
      <c r="BG26" s="149"/>
      <c r="BH26" s="149"/>
      <c r="BI26" s="149"/>
      <c r="BJ26" s="150"/>
      <c r="BK26" s="152"/>
      <c r="BL26" s="149"/>
      <c r="BM26" s="149"/>
      <c r="BN26" s="149"/>
      <c r="BO26" s="149"/>
      <c r="BP26" s="149"/>
      <c r="BQ26" s="149"/>
      <c r="BR26" s="149"/>
      <c r="BS26" s="153"/>
      <c r="BT26" s="152"/>
      <c r="BU26" s="149"/>
      <c r="BV26" s="149"/>
      <c r="BW26" s="149"/>
      <c r="BX26" s="149"/>
      <c r="BY26" s="149"/>
      <c r="BZ26" s="149"/>
      <c r="CA26" s="149"/>
      <c r="CB26" s="150"/>
      <c r="CC26" s="152"/>
      <c r="CD26" s="149"/>
      <c r="CE26" s="149"/>
      <c r="CF26" s="149"/>
      <c r="CG26" s="149"/>
      <c r="CH26" s="149"/>
      <c r="CI26" s="149"/>
      <c r="CJ26" s="149"/>
      <c r="CK26" s="150"/>
      <c r="CL26" s="152"/>
      <c r="CM26" s="149"/>
      <c r="CN26" s="149"/>
      <c r="CO26" s="149"/>
      <c r="CP26" s="149"/>
      <c r="CQ26" s="149"/>
      <c r="CR26" s="149"/>
      <c r="CS26" s="149"/>
      <c r="CT26" s="150"/>
      <c r="CU26" s="152"/>
      <c r="CV26" s="149"/>
      <c r="CW26" s="149"/>
      <c r="CX26" s="149"/>
      <c r="CY26" s="149"/>
      <c r="CZ26" s="149"/>
      <c r="DA26" s="149"/>
      <c r="DB26" s="149"/>
      <c r="DC26" s="153"/>
    </row>
    <row r="27" spans="1:107" ht="17" thickBot="1" x14ac:dyDescent="0.25">
      <c r="A27" s="138">
        <v>21</v>
      </c>
      <c r="B27" s="139" t="s">
        <v>374</v>
      </c>
      <c r="C27" s="164"/>
      <c r="D27" s="164"/>
      <c r="E27" s="155">
        <f t="shared" si="0"/>
        <v>0</v>
      </c>
      <c r="F27" s="156"/>
      <c r="G27" s="157"/>
      <c r="H27" s="157"/>
      <c r="I27" s="157"/>
      <c r="J27" s="157"/>
      <c r="K27" s="157"/>
      <c r="L27" s="157"/>
      <c r="M27" s="157"/>
      <c r="N27" s="157"/>
      <c r="O27" s="158"/>
      <c r="P27" s="159"/>
      <c r="Q27" s="157"/>
      <c r="R27" s="157"/>
      <c r="S27" s="157"/>
      <c r="T27" s="157"/>
      <c r="U27" s="157"/>
      <c r="V27" s="157"/>
      <c r="W27" s="157"/>
      <c r="X27" s="157"/>
      <c r="Y27" s="158"/>
      <c r="Z27" s="160"/>
      <c r="AA27" s="157"/>
      <c r="AB27" s="157"/>
      <c r="AC27" s="157"/>
      <c r="AD27" s="157"/>
      <c r="AE27" s="157"/>
      <c r="AF27" s="157"/>
      <c r="AG27" s="157"/>
      <c r="AH27" s="157"/>
      <c r="AI27" s="161"/>
      <c r="AJ27" s="160"/>
      <c r="AK27" s="157"/>
      <c r="AL27" s="157"/>
      <c r="AM27" s="157"/>
      <c r="AN27" s="157"/>
      <c r="AO27" s="157"/>
      <c r="AP27" s="157"/>
      <c r="AQ27" s="157"/>
      <c r="AR27" s="158"/>
      <c r="AS27" s="160"/>
      <c r="AT27" s="157"/>
      <c r="AU27" s="157"/>
      <c r="AV27" s="157"/>
      <c r="AW27" s="157"/>
      <c r="AX27" s="157"/>
      <c r="AY27" s="157"/>
      <c r="AZ27" s="157"/>
      <c r="BA27" s="158"/>
      <c r="BB27" s="160"/>
      <c r="BC27" s="157"/>
      <c r="BD27" s="157"/>
      <c r="BE27" s="157"/>
      <c r="BF27" s="157"/>
      <c r="BG27" s="157"/>
      <c r="BH27" s="157"/>
      <c r="BI27" s="157"/>
      <c r="BJ27" s="158"/>
      <c r="BK27" s="160"/>
      <c r="BL27" s="157"/>
      <c r="BM27" s="157"/>
      <c r="BN27" s="157"/>
      <c r="BO27" s="157"/>
      <c r="BP27" s="157"/>
      <c r="BQ27" s="157"/>
      <c r="BR27" s="157"/>
      <c r="BS27" s="161"/>
      <c r="BT27" s="160"/>
      <c r="BU27" s="157"/>
      <c r="BV27" s="157"/>
      <c r="BW27" s="157"/>
      <c r="BX27" s="157"/>
      <c r="BY27" s="157"/>
      <c r="BZ27" s="157"/>
      <c r="CA27" s="157"/>
      <c r="CB27" s="158"/>
      <c r="CC27" s="160"/>
      <c r="CD27" s="157"/>
      <c r="CE27" s="157"/>
      <c r="CF27" s="157"/>
      <c r="CG27" s="157"/>
      <c r="CH27" s="157"/>
      <c r="CI27" s="157"/>
      <c r="CJ27" s="157"/>
      <c r="CK27" s="158"/>
      <c r="CL27" s="160"/>
      <c r="CM27" s="157"/>
      <c r="CN27" s="157"/>
      <c r="CO27" s="157"/>
      <c r="CP27" s="157"/>
      <c r="CQ27" s="157"/>
      <c r="CR27" s="157"/>
      <c r="CS27" s="157"/>
      <c r="CT27" s="158"/>
      <c r="CU27" s="160"/>
      <c r="CV27" s="157"/>
      <c r="CW27" s="157"/>
      <c r="CX27" s="157"/>
      <c r="CY27" s="157"/>
      <c r="CZ27" s="157"/>
      <c r="DA27" s="157"/>
      <c r="DB27" s="157"/>
      <c r="DC27" s="161"/>
    </row>
    <row r="28" spans="1:107" x14ac:dyDescent="0.2">
      <c r="F28" s="138">
        <f t="shared" ref="F28:AK28" si="3">F4-SUM(F5:F27)</f>
        <v>0</v>
      </c>
      <c r="G28" s="138">
        <f t="shared" si="3"/>
        <v>0</v>
      </c>
      <c r="H28" s="138">
        <f t="shared" si="3"/>
        <v>0</v>
      </c>
      <c r="I28" s="138">
        <f t="shared" si="3"/>
        <v>0</v>
      </c>
      <c r="J28" s="138">
        <f t="shared" si="3"/>
        <v>0</v>
      </c>
      <c r="K28" s="138">
        <f t="shared" si="3"/>
        <v>0</v>
      </c>
      <c r="L28" s="138">
        <f t="shared" si="3"/>
        <v>3</v>
      </c>
      <c r="M28" s="138">
        <f t="shared" si="3"/>
        <v>0</v>
      </c>
      <c r="N28" s="138">
        <f t="shared" si="3"/>
        <v>3</v>
      </c>
      <c r="O28" s="138">
        <f t="shared" si="3"/>
        <v>0</v>
      </c>
      <c r="P28" s="138">
        <f t="shared" si="3"/>
        <v>0</v>
      </c>
      <c r="Q28" s="138">
        <f t="shared" si="3"/>
        <v>0</v>
      </c>
      <c r="R28" s="138">
        <f t="shared" si="3"/>
        <v>0</v>
      </c>
      <c r="S28" s="138">
        <f t="shared" si="3"/>
        <v>0</v>
      </c>
      <c r="T28" s="138">
        <f t="shared" si="3"/>
        <v>0</v>
      </c>
      <c r="U28" s="138">
        <f t="shared" si="3"/>
        <v>0</v>
      </c>
      <c r="V28" s="138">
        <f t="shared" si="3"/>
        <v>0</v>
      </c>
      <c r="W28" s="138">
        <f t="shared" si="3"/>
        <v>0</v>
      </c>
      <c r="X28" s="138">
        <f t="shared" si="3"/>
        <v>3</v>
      </c>
      <c r="Y28" s="138">
        <f t="shared" si="3"/>
        <v>0</v>
      </c>
      <c r="Z28" s="138">
        <f t="shared" si="3"/>
        <v>0</v>
      </c>
      <c r="AA28" s="138">
        <f t="shared" si="3"/>
        <v>0</v>
      </c>
      <c r="AB28" s="138">
        <f t="shared" si="3"/>
        <v>0</v>
      </c>
      <c r="AC28" s="138">
        <f t="shared" si="3"/>
        <v>2</v>
      </c>
      <c r="AD28" s="138">
        <f t="shared" si="3"/>
        <v>0</v>
      </c>
      <c r="AE28" s="138">
        <f t="shared" si="3"/>
        <v>0</v>
      </c>
      <c r="AF28" s="138">
        <f t="shared" si="3"/>
        <v>0</v>
      </c>
      <c r="AG28" s="138">
        <f t="shared" si="3"/>
        <v>0</v>
      </c>
      <c r="AH28" s="138">
        <f t="shared" si="3"/>
        <v>3</v>
      </c>
      <c r="AI28" s="138">
        <f t="shared" si="3"/>
        <v>0</v>
      </c>
      <c r="AJ28" s="138">
        <f t="shared" si="3"/>
        <v>0</v>
      </c>
      <c r="AK28" s="138">
        <f t="shared" si="3"/>
        <v>0</v>
      </c>
      <c r="AL28" s="138">
        <f t="shared" ref="AL28:BQ28" si="4">AL4-SUM(AL5:AL27)</f>
        <v>0</v>
      </c>
      <c r="AM28" s="138">
        <f t="shared" si="4"/>
        <v>4</v>
      </c>
      <c r="AN28" s="138">
        <f t="shared" si="4"/>
        <v>0</v>
      </c>
      <c r="AO28" s="138">
        <f t="shared" si="4"/>
        <v>0</v>
      </c>
      <c r="AP28" s="138">
        <f t="shared" si="4"/>
        <v>0</v>
      </c>
      <c r="AQ28" s="138">
        <f t="shared" si="4"/>
        <v>3</v>
      </c>
      <c r="AR28" s="138">
        <f t="shared" si="4"/>
        <v>1</v>
      </c>
      <c r="AS28" s="138">
        <f t="shared" si="4"/>
        <v>0</v>
      </c>
      <c r="AT28" s="138">
        <f t="shared" si="4"/>
        <v>0</v>
      </c>
      <c r="AU28" s="138">
        <f t="shared" si="4"/>
        <v>0</v>
      </c>
      <c r="AV28" s="138">
        <f t="shared" si="4"/>
        <v>0</v>
      </c>
      <c r="AW28" s="138">
        <f t="shared" si="4"/>
        <v>0</v>
      </c>
      <c r="AX28" s="138">
        <f t="shared" si="4"/>
        <v>0</v>
      </c>
      <c r="AY28" s="138">
        <f t="shared" si="4"/>
        <v>0</v>
      </c>
      <c r="AZ28" s="138">
        <f t="shared" si="4"/>
        <v>3</v>
      </c>
      <c r="BA28" s="138">
        <f t="shared" si="4"/>
        <v>0</v>
      </c>
      <c r="BB28" s="138">
        <f t="shared" si="4"/>
        <v>0</v>
      </c>
      <c r="BC28" s="138">
        <f t="shared" si="4"/>
        <v>5</v>
      </c>
      <c r="BD28" s="138">
        <f t="shared" si="4"/>
        <v>0</v>
      </c>
      <c r="BE28" s="138">
        <f t="shared" si="4"/>
        <v>0</v>
      </c>
      <c r="BF28" s="138">
        <f t="shared" si="4"/>
        <v>0</v>
      </c>
      <c r="BG28" s="138">
        <f t="shared" si="4"/>
        <v>0</v>
      </c>
      <c r="BH28" s="138">
        <f t="shared" si="4"/>
        <v>2</v>
      </c>
      <c r="BI28" s="138">
        <f t="shared" si="4"/>
        <v>3</v>
      </c>
      <c r="BJ28" s="138">
        <f t="shared" si="4"/>
        <v>1</v>
      </c>
      <c r="BK28" s="138">
        <f t="shared" si="4"/>
        <v>0</v>
      </c>
      <c r="BL28" s="138">
        <f t="shared" si="4"/>
        <v>5</v>
      </c>
      <c r="BM28" s="138">
        <f t="shared" si="4"/>
        <v>0</v>
      </c>
      <c r="BN28" s="138">
        <f t="shared" si="4"/>
        <v>0</v>
      </c>
      <c r="BO28" s="138">
        <f t="shared" si="4"/>
        <v>0</v>
      </c>
      <c r="BP28" s="138">
        <f t="shared" si="4"/>
        <v>0</v>
      </c>
      <c r="BQ28" s="138">
        <f t="shared" si="4"/>
        <v>0</v>
      </c>
      <c r="BR28" s="138">
        <f t="shared" ref="BR28:CW28" si="5">BR4-SUM(BR5:BR27)</f>
        <v>3</v>
      </c>
      <c r="BS28" s="138">
        <f t="shared" si="5"/>
        <v>0</v>
      </c>
      <c r="BT28" s="138">
        <f t="shared" si="5"/>
        <v>0</v>
      </c>
      <c r="BU28" s="138">
        <f t="shared" si="5"/>
        <v>5</v>
      </c>
      <c r="BV28" s="138">
        <f t="shared" si="5"/>
        <v>0</v>
      </c>
      <c r="BW28" s="138">
        <f t="shared" si="5"/>
        <v>4</v>
      </c>
      <c r="BX28" s="138">
        <f t="shared" si="5"/>
        <v>0</v>
      </c>
      <c r="BY28" s="138">
        <f t="shared" si="5"/>
        <v>0</v>
      </c>
      <c r="BZ28" s="138">
        <f t="shared" si="5"/>
        <v>0</v>
      </c>
      <c r="CA28" s="138">
        <f t="shared" si="5"/>
        <v>3</v>
      </c>
      <c r="CB28" s="138">
        <f t="shared" si="5"/>
        <v>1</v>
      </c>
      <c r="CC28" s="138">
        <f t="shared" si="5"/>
        <v>0</v>
      </c>
      <c r="CD28" s="138">
        <f t="shared" si="5"/>
        <v>5</v>
      </c>
      <c r="CE28" s="138">
        <f t="shared" si="5"/>
        <v>0</v>
      </c>
      <c r="CF28" s="138">
        <f t="shared" si="5"/>
        <v>0</v>
      </c>
      <c r="CG28" s="138">
        <f t="shared" si="5"/>
        <v>0</v>
      </c>
      <c r="CH28" s="138">
        <f t="shared" si="5"/>
        <v>0</v>
      </c>
      <c r="CI28" s="138">
        <f t="shared" si="5"/>
        <v>0</v>
      </c>
      <c r="CJ28" s="138">
        <f t="shared" si="5"/>
        <v>3</v>
      </c>
      <c r="CK28" s="138">
        <f t="shared" si="5"/>
        <v>0</v>
      </c>
      <c r="CL28" s="138">
        <f t="shared" si="5"/>
        <v>0</v>
      </c>
      <c r="CM28" s="138">
        <f t="shared" si="5"/>
        <v>5</v>
      </c>
      <c r="CN28" s="138">
        <f t="shared" si="5"/>
        <v>0</v>
      </c>
      <c r="CO28" s="138">
        <f t="shared" si="5"/>
        <v>0</v>
      </c>
      <c r="CP28" s="138">
        <f t="shared" si="5"/>
        <v>0</v>
      </c>
      <c r="CQ28" s="138">
        <f t="shared" si="5"/>
        <v>0</v>
      </c>
      <c r="CR28" s="138">
        <f t="shared" si="5"/>
        <v>0</v>
      </c>
      <c r="CS28" s="138">
        <f t="shared" si="5"/>
        <v>3</v>
      </c>
      <c r="CT28" s="138">
        <f t="shared" si="5"/>
        <v>1</v>
      </c>
      <c r="CU28" s="138">
        <f t="shared" si="5"/>
        <v>5</v>
      </c>
      <c r="CV28" s="138">
        <f t="shared" si="5"/>
        <v>5</v>
      </c>
      <c r="CW28" s="138">
        <f t="shared" si="5"/>
        <v>0</v>
      </c>
      <c r="CX28" s="138">
        <f t="shared" ref="CX28:DC28" si="6">CX4-SUM(CX5:CX27)</f>
        <v>0</v>
      </c>
      <c r="CY28" s="138">
        <f t="shared" si="6"/>
        <v>0</v>
      </c>
      <c r="CZ28" s="138">
        <f t="shared" si="6"/>
        <v>0</v>
      </c>
      <c r="DA28" s="138">
        <f t="shared" si="6"/>
        <v>0</v>
      </c>
      <c r="DB28" s="138">
        <f t="shared" si="6"/>
        <v>3</v>
      </c>
      <c r="DC28" s="138">
        <f t="shared" si="6"/>
        <v>0</v>
      </c>
    </row>
    <row r="31" spans="1:107" x14ac:dyDescent="0.2">
      <c r="J31" s="154" t="s">
        <v>361</v>
      </c>
      <c r="K31" s="124">
        <f>F28+P28+Z28+AJ28+AS28+BB28+BK28+BT28+CC28+CL28+CU28</f>
        <v>5</v>
      </c>
    </row>
    <row r="32" spans="1:107" x14ac:dyDescent="0.2">
      <c r="J32" s="154" t="s">
        <v>362</v>
      </c>
      <c r="K32" s="124">
        <f>G28+Q28+AA28+AK28+AT28+BC28+BL28+BU28+CD28+CM28+CV28</f>
        <v>30</v>
      </c>
    </row>
    <row r="33" spans="10:17" x14ac:dyDescent="0.2">
      <c r="J33" s="154" t="s">
        <v>363</v>
      </c>
      <c r="K33" s="124">
        <f>H28+R28+AB28</f>
        <v>0</v>
      </c>
    </row>
    <row r="34" spans="10:17" x14ac:dyDescent="0.2">
      <c r="J34" s="154" t="s">
        <v>364</v>
      </c>
      <c r="K34" s="124">
        <f>AL28+AU28+BD28+BM28</f>
        <v>0</v>
      </c>
    </row>
    <row r="35" spans="10:17" x14ac:dyDescent="0.2">
      <c r="J35" s="154" t="s">
        <v>365</v>
      </c>
      <c r="K35" s="124">
        <f>BV28+CE28+CN28+CW28</f>
        <v>0</v>
      </c>
    </row>
    <row r="36" spans="10:17" x14ac:dyDescent="0.2">
      <c r="J36" s="154" t="s">
        <v>366</v>
      </c>
      <c r="K36" s="124">
        <f>I28+S28+AC28+AM28+AV28+BE28+BN28+BW28+CF28+CO28+CX28</f>
        <v>10</v>
      </c>
    </row>
    <row r="37" spans="10:17" x14ac:dyDescent="0.2">
      <c r="J37" s="154" t="s">
        <v>367</v>
      </c>
      <c r="K37" s="124">
        <f>J28+T28+AD28+AN28+AW28+BF28+BO28+BX28+CG28+CP28+CY28</f>
        <v>0</v>
      </c>
    </row>
    <row r="38" spans="10:17" x14ac:dyDescent="0.2">
      <c r="J38" s="154" t="s">
        <v>44</v>
      </c>
      <c r="K38" s="124">
        <f>K28+U28+AE28</f>
        <v>0</v>
      </c>
    </row>
    <row r="39" spans="10:17" x14ac:dyDescent="0.2">
      <c r="J39" s="154" t="s">
        <v>368</v>
      </c>
      <c r="K39" s="124">
        <f>L28+V28+AF28+AO28+AX28+BG28+BP28+BY28+CH28+CQ28+CZ28</f>
        <v>3</v>
      </c>
    </row>
    <row r="40" spans="10:17" x14ac:dyDescent="0.2">
      <c r="J40" s="154" t="s">
        <v>369</v>
      </c>
      <c r="K40" s="124">
        <f>M28+W28+AG28+AP28+AY28+BH28+BQ28+BZ28+CI28+CR28+DA28</f>
        <v>2</v>
      </c>
    </row>
    <row r="41" spans="10:17" x14ac:dyDescent="0.2">
      <c r="J41" s="154" t="s">
        <v>370</v>
      </c>
      <c r="K41" s="124">
        <f>N28+X28+AH28+AQ28+AZ28+BI28+BR28+CA28+CJ28+CS28+DB28</f>
        <v>33</v>
      </c>
    </row>
    <row r="42" spans="10:17" x14ac:dyDescent="0.2">
      <c r="J42" s="154" t="s">
        <v>57</v>
      </c>
      <c r="K42" s="124">
        <f>O28+Y28+AI28+AR28+BA28+BJ28+BS28+CB28+CK28+CT28+DC28</f>
        <v>4</v>
      </c>
      <c r="P42" s="154" t="s">
        <v>371</v>
      </c>
      <c r="Q42" s="124">
        <v>11</v>
      </c>
    </row>
    <row r="43" spans="10:17" x14ac:dyDescent="0.2">
      <c r="J43" s="154" t="s">
        <v>372</v>
      </c>
      <c r="K43" s="124">
        <f>SUM(E5:E27)</f>
        <v>20</v>
      </c>
      <c r="P43" s="154" t="s">
        <v>373</v>
      </c>
      <c r="Q43" s="124">
        <f>K43/4</f>
        <v>5</v>
      </c>
    </row>
  </sheetData>
  <mergeCells count="19">
    <mergeCell ref="CL2:CT2"/>
    <mergeCell ref="CU2:DC2"/>
    <mergeCell ref="D1:D4"/>
    <mergeCell ref="BT1:DC1"/>
    <mergeCell ref="F2:O2"/>
    <mergeCell ref="P2:Y2"/>
    <mergeCell ref="Z2:AI2"/>
    <mergeCell ref="AJ2:AR2"/>
    <mergeCell ref="AS2:BA2"/>
    <mergeCell ref="BB2:BJ2"/>
    <mergeCell ref="BK2:BS2"/>
    <mergeCell ref="BT2:CB2"/>
    <mergeCell ref="CC2:CK2"/>
    <mergeCell ref="AJ1:BS1"/>
    <mergeCell ref="A1:A4"/>
    <mergeCell ref="B1:B4"/>
    <mergeCell ref="C1:C4"/>
    <mergeCell ref="E1:E4"/>
    <mergeCell ref="F1:AI1"/>
  </mergeCells>
  <conditionalFormatting sqref="F5:DC24 F27:DC27">
    <cfRule type="containsBlanks" dxfId="12" priority="10">
      <formula>LEN(TRIM(F5))=0</formula>
    </cfRule>
  </conditionalFormatting>
  <conditionalFormatting sqref="E5:E24 E27">
    <cfRule type="cellIs" dxfId="11" priority="8" operator="equal">
      <formula>0</formula>
    </cfRule>
    <cfRule type="containsBlanks" dxfId="10" priority="9">
      <formula>LEN(TRIM(E5))=0</formula>
    </cfRule>
  </conditionalFormatting>
  <conditionalFormatting sqref="F28:DC28">
    <cfRule type="cellIs" dxfId="9" priority="7" operator="equal">
      <formula>0</formula>
    </cfRule>
  </conditionalFormatting>
  <conditionalFormatting sqref="F25:DC25">
    <cfRule type="containsBlanks" dxfId="8" priority="6">
      <formula>LEN(TRIM(F25))=0</formula>
    </cfRule>
  </conditionalFormatting>
  <conditionalFormatting sqref="E25">
    <cfRule type="cellIs" dxfId="7" priority="4" operator="equal">
      <formula>0</formula>
    </cfRule>
    <cfRule type="containsBlanks" dxfId="6" priority="5">
      <formula>LEN(TRIM(E25))=0</formula>
    </cfRule>
  </conditionalFormatting>
  <conditionalFormatting sqref="F26:DC26">
    <cfRule type="containsBlanks" dxfId="5" priority="3">
      <formula>LEN(TRIM(F26))=0</formula>
    </cfRule>
  </conditionalFormatting>
  <conditionalFormatting sqref="E26">
    <cfRule type="cellIs" dxfId="4" priority="1" operator="equal">
      <formula>0</formula>
    </cfRule>
    <cfRule type="containsBlanks" dxfId="3" priority="2">
      <formula>LEN(TRIM(E26))=0</formula>
    </cfRule>
  </conditionalFormatting>
  <pageMargins left="0.7" right="0.7" top="0.75" bottom="0.75" header="0.3" footer="0.3"/>
  <pageSetup orientation="landscape" horizontalDpi="0" verticalDpi="0" copies="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pageSetUpPr fitToPage="1"/>
  </sheetPr>
  <dimension ref="A1:F41"/>
  <sheetViews>
    <sheetView zoomScale="85" zoomScaleNormal="85" workbookViewId="0">
      <selection sqref="A1:F1"/>
    </sheetView>
  </sheetViews>
  <sheetFormatPr baseColWidth="10" defaultColWidth="10.83203125" defaultRowHeight="16" x14ac:dyDescent="0.2"/>
  <cols>
    <col min="1" max="1" width="12.83203125" style="165" customWidth="1"/>
    <col min="2" max="6" width="30.83203125" style="165" customWidth="1"/>
    <col min="7" max="16384" width="10.83203125" style="165"/>
  </cols>
  <sheetData>
    <row r="1" spans="1:6" ht="32" customHeight="1" thickBot="1" x14ac:dyDescent="0.25">
      <c r="A1" s="448" t="s">
        <v>400</v>
      </c>
      <c r="B1" s="449"/>
      <c r="C1" s="449"/>
      <c r="D1" s="449"/>
      <c r="E1" s="449"/>
      <c r="F1" s="450"/>
    </row>
    <row r="2" spans="1:6" ht="45" customHeight="1" thickBot="1" x14ac:dyDescent="0.25">
      <c r="A2" s="223" t="s">
        <v>401</v>
      </c>
      <c r="B2" s="223" t="s">
        <v>204</v>
      </c>
      <c r="C2" s="223" t="s">
        <v>203</v>
      </c>
      <c r="D2" s="223" t="s">
        <v>202</v>
      </c>
      <c r="E2" s="223" t="s">
        <v>201</v>
      </c>
      <c r="F2" s="223" t="s">
        <v>200</v>
      </c>
    </row>
    <row r="3" spans="1:6" ht="35" customHeight="1" thickBot="1" x14ac:dyDescent="0.25">
      <c r="A3" s="223" t="s">
        <v>293</v>
      </c>
      <c r="B3" s="224" t="s">
        <v>402</v>
      </c>
      <c r="C3" s="224" t="s">
        <v>402</v>
      </c>
      <c r="D3" s="224" t="s">
        <v>402</v>
      </c>
      <c r="E3" s="224" t="s">
        <v>402</v>
      </c>
      <c r="F3" s="224" t="s">
        <v>402</v>
      </c>
    </row>
    <row r="4" spans="1:6" ht="35" customHeight="1" thickBot="1" x14ac:dyDescent="0.25">
      <c r="A4" s="223" t="s">
        <v>294</v>
      </c>
      <c r="B4" s="225" t="s">
        <v>362</v>
      </c>
      <c r="C4" s="225" t="s">
        <v>362</v>
      </c>
      <c r="D4" s="225" t="s">
        <v>362</v>
      </c>
      <c r="E4" s="225" t="s">
        <v>362</v>
      </c>
      <c r="F4" s="225" t="s">
        <v>362</v>
      </c>
    </row>
    <row r="5" spans="1:6" ht="35" customHeight="1" thickBot="1" x14ac:dyDescent="0.25">
      <c r="A5" s="223" t="s">
        <v>403</v>
      </c>
      <c r="B5" s="451" t="s">
        <v>404</v>
      </c>
      <c r="C5" s="452"/>
      <c r="D5" s="452"/>
      <c r="E5" s="452"/>
      <c r="F5" s="452"/>
    </row>
    <row r="6" spans="1:6" ht="35" customHeight="1" thickBot="1" x14ac:dyDescent="0.25">
      <c r="A6" s="223" t="s">
        <v>295</v>
      </c>
      <c r="B6" s="226" t="s">
        <v>405</v>
      </c>
      <c r="C6" s="226" t="s">
        <v>405</v>
      </c>
      <c r="D6" s="227" t="s">
        <v>406</v>
      </c>
      <c r="E6" s="227" t="s">
        <v>406</v>
      </c>
      <c r="F6" s="224" t="s">
        <v>368</v>
      </c>
    </row>
    <row r="7" spans="1:6" ht="35" customHeight="1" thickBot="1" x14ac:dyDescent="0.25">
      <c r="A7" s="223" t="s">
        <v>296</v>
      </c>
      <c r="B7" s="226" t="s">
        <v>405</v>
      </c>
      <c r="C7" s="227" t="s">
        <v>366</v>
      </c>
      <c r="D7" s="227" t="s">
        <v>44</v>
      </c>
      <c r="E7" s="227" t="s">
        <v>44</v>
      </c>
      <c r="F7" s="224" t="s">
        <v>368</v>
      </c>
    </row>
    <row r="8" spans="1:6" ht="35" customHeight="1" thickBot="1" x14ac:dyDescent="0.25">
      <c r="A8" s="223" t="s">
        <v>297</v>
      </c>
      <c r="B8" s="226" t="s">
        <v>405</v>
      </c>
      <c r="C8" s="227" t="s">
        <v>366</v>
      </c>
      <c r="D8" s="227" t="s">
        <v>44</v>
      </c>
      <c r="E8" s="227" t="s">
        <v>44</v>
      </c>
      <c r="F8" s="224" t="s">
        <v>368</v>
      </c>
    </row>
    <row r="9" spans="1:6" ht="35" customHeight="1" thickBot="1" x14ac:dyDescent="0.25">
      <c r="A9" s="223" t="s">
        <v>407</v>
      </c>
      <c r="B9" s="451" t="s">
        <v>404</v>
      </c>
      <c r="C9" s="452"/>
      <c r="D9" s="452"/>
      <c r="E9" s="452"/>
      <c r="F9" s="452"/>
    </row>
    <row r="10" spans="1:6" ht="35" customHeight="1" thickBot="1" x14ac:dyDescent="0.25">
      <c r="A10" s="223" t="s">
        <v>298</v>
      </c>
      <c r="B10" s="228" t="s">
        <v>408</v>
      </c>
      <c r="C10" s="228" t="s">
        <v>408</v>
      </c>
      <c r="D10" s="229" t="s">
        <v>370</v>
      </c>
      <c r="E10" s="229" t="s">
        <v>370</v>
      </c>
      <c r="F10" s="229" t="s">
        <v>370</v>
      </c>
    </row>
    <row r="11" spans="1:6" ht="35" customHeight="1" thickBot="1" x14ac:dyDescent="0.25">
      <c r="A11" s="223" t="s">
        <v>299</v>
      </c>
      <c r="B11" s="446" t="s">
        <v>409</v>
      </c>
      <c r="C11" s="447"/>
      <c r="D11" s="447"/>
      <c r="E11" s="447"/>
      <c r="F11" s="230" t="s">
        <v>410</v>
      </c>
    </row>
    <row r="15" spans="1:6" ht="17" thickBot="1" x14ac:dyDescent="0.25"/>
    <row r="16" spans="1:6" ht="32" customHeight="1" thickBot="1" x14ac:dyDescent="0.25">
      <c r="A16" s="448" t="s">
        <v>25</v>
      </c>
      <c r="B16" s="449"/>
      <c r="C16" s="449"/>
      <c r="D16" s="449"/>
      <c r="E16" s="449"/>
      <c r="F16" s="450"/>
    </row>
    <row r="17" spans="1:6" ht="45" customHeight="1" thickBot="1" x14ac:dyDescent="0.25">
      <c r="A17" s="223" t="s">
        <v>401</v>
      </c>
      <c r="B17" s="223" t="s">
        <v>204</v>
      </c>
      <c r="C17" s="223" t="s">
        <v>203</v>
      </c>
      <c r="D17" s="223" t="s">
        <v>202</v>
      </c>
      <c r="E17" s="223" t="s">
        <v>201</v>
      </c>
      <c r="F17" s="223" t="s">
        <v>200</v>
      </c>
    </row>
    <row r="18" spans="1:6" ht="35" customHeight="1" thickBot="1" x14ac:dyDescent="0.25">
      <c r="A18" s="223" t="s">
        <v>411</v>
      </c>
      <c r="B18" s="224" t="s">
        <v>402</v>
      </c>
      <c r="C18" s="224" t="s">
        <v>402</v>
      </c>
      <c r="D18" s="224" t="s">
        <v>402</v>
      </c>
      <c r="E18" s="224" t="s">
        <v>402</v>
      </c>
      <c r="F18" s="224" t="s">
        <v>402</v>
      </c>
    </row>
    <row r="19" spans="1:6" ht="35" customHeight="1" thickBot="1" x14ac:dyDescent="0.25">
      <c r="A19" s="223" t="s">
        <v>412</v>
      </c>
      <c r="B19" s="225" t="s">
        <v>362</v>
      </c>
      <c r="C19" s="225" t="s">
        <v>362</v>
      </c>
      <c r="D19" s="225" t="s">
        <v>362</v>
      </c>
      <c r="E19" s="225" t="s">
        <v>362</v>
      </c>
      <c r="F19" s="225" t="s">
        <v>362</v>
      </c>
    </row>
    <row r="20" spans="1:6" ht="35" customHeight="1" thickBot="1" x14ac:dyDescent="0.25">
      <c r="A20" s="223" t="s">
        <v>413</v>
      </c>
      <c r="B20" s="451" t="s">
        <v>404</v>
      </c>
      <c r="C20" s="452"/>
      <c r="D20" s="452"/>
      <c r="E20" s="452"/>
      <c r="F20" s="452"/>
    </row>
    <row r="21" spans="1:6" ht="35" customHeight="1" thickBot="1" x14ac:dyDescent="0.25">
      <c r="A21" s="223" t="s">
        <v>414</v>
      </c>
      <c r="B21" s="226" t="s">
        <v>415</v>
      </c>
      <c r="C21" s="226" t="s">
        <v>415</v>
      </c>
      <c r="D21" s="227" t="s">
        <v>366</v>
      </c>
      <c r="E21" s="227" t="s">
        <v>366</v>
      </c>
      <c r="F21" s="224" t="s">
        <v>368</v>
      </c>
    </row>
    <row r="22" spans="1:6" ht="35" customHeight="1" thickBot="1" x14ac:dyDescent="0.25">
      <c r="A22" s="223" t="s">
        <v>416</v>
      </c>
      <c r="B22" s="226" t="s">
        <v>415</v>
      </c>
      <c r="C22" s="226" t="s">
        <v>415</v>
      </c>
      <c r="D22" s="227" t="s">
        <v>366</v>
      </c>
      <c r="E22" s="227" t="s">
        <v>366</v>
      </c>
      <c r="F22" s="224" t="s">
        <v>368</v>
      </c>
    </row>
    <row r="23" spans="1:6" ht="35" customHeight="1" thickBot="1" x14ac:dyDescent="0.25">
      <c r="A23" s="223" t="s">
        <v>417</v>
      </c>
      <c r="B23" s="226" t="s">
        <v>415</v>
      </c>
      <c r="C23" s="226" t="s">
        <v>415</v>
      </c>
      <c r="D23" s="227" t="s">
        <v>406</v>
      </c>
      <c r="E23" s="227" t="s">
        <v>406</v>
      </c>
      <c r="F23" s="224" t="s">
        <v>368</v>
      </c>
    </row>
    <row r="24" spans="1:6" ht="35" customHeight="1" thickBot="1" x14ac:dyDescent="0.25">
      <c r="A24" s="223" t="s">
        <v>418</v>
      </c>
      <c r="B24" s="451" t="s">
        <v>404</v>
      </c>
      <c r="C24" s="452"/>
      <c r="D24" s="452"/>
      <c r="E24" s="452"/>
      <c r="F24" s="452"/>
    </row>
    <row r="25" spans="1:6" ht="35" customHeight="1" thickBot="1" x14ac:dyDescent="0.25">
      <c r="A25" s="223" t="s">
        <v>419</v>
      </c>
      <c r="B25" s="228" t="s">
        <v>408</v>
      </c>
      <c r="C25" s="228" t="s">
        <v>408</v>
      </c>
      <c r="D25" s="229" t="s">
        <v>370</v>
      </c>
      <c r="E25" s="229" t="s">
        <v>370</v>
      </c>
      <c r="F25" s="229" t="s">
        <v>370</v>
      </c>
    </row>
    <row r="26" spans="1:6" ht="35" customHeight="1" thickBot="1" x14ac:dyDescent="0.25">
      <c r="A26" s="223" t="s">
        <v>420</v>
      </c>
      <c r="B26" s="446" t="s">
        <v>409</v>
      </c>
      <c r="C26" s="447"/>
      <c r="D26" s="447"/>
      <c r="E26" s="447"/>
      <c r="F26" s="230" t="s">
        <v>410</v>
      </c>
    </row>
    <row r="30" spans="1:6" ht="17" thickBot="1" x14ac:dyDescent="0.25"/>
    <row r="31" spans="1:6" ht="32" customHeight="1" thickBot="1" x14ac:dyDescent="0.25">
      <c r="A31" s="448" t="s">
        <v>34</v>
      </c>
      <c r="B31" s="449"/>
      <c r="C31" s="449"/>
      <c r="D31" s="449"/>
      <c r="E31" s="449"/>
      <c r="F31" s="450"/>
    </row>
    <row r="32" spans="1:6" ht="45" customHeight="1" thickBot="1" x14ac:dyDescent="0.25">
      <c r="A32" s="223" t="s">
        <v>401</v>
      </c>
      <c r="B32" s="223" t="s">
        <v>204</v>
      </c>
      <c r="C32" s="223" t="s">
        <v>203</v>
      </c>
      <c r="D32" s="223" t="s">
        <v>202</v>
      </c>
      <c r="E32" s="223" t="s">
        <v>201</v>
      </c>
      <c r="F32" s="223" t="s">
        <v>200</v>
      </c>
    </row>
    <row r="33" spans="1:6" ht="35" customHeight="1" thickBot="1" x14ac:dyDescent="0.25">
      <c r="A33" s="223" t="s">
        <v>411</v>
      </c>
      <c r="B33" s="224" t="s">
        <v>402</v>
      </c>
      <c r="C33" s="224" t="s">
        <v>402</v>
      </c>
      <c r="D33" s="224" t="s">
        <v>402</v>
      </c>
      <c r="E33" s="224" t="s">
        <v>402</v>
      </c>
      <c r="F33" s="224" t="s">
        <v>402</v>
      </c>
    </row>
    <row r="34" spans="1:6" ht="35" customHeight="1" thickBot="1" x14ac:dyDescent="0.25">
      <c r="A34" s="223" t="s">
        <v>412</v>
      </c>
      <c r="B34" s="225" t="s">
        <v>362</v>
      </c>
      <c r="C34" s="225" t="s">
        <v>362</v>
      </c>
      <c r="D34" s="225" t="s">
        <v>362</v>
      </c>
      <c r="E34" s="225" t="s">
        <v>362</v>
      </c>
      <c r="F34" s="225" t="s">
        <v>362</v>
      </c>
    </row>
    <row r="35" spans="1:6" ht="35" customHeight="1" thickBot="1" x14ac:dyDescent="0.25">
      <c r="A35" s="223" t="s">
        <v>413</v>
      </c>
      <c r="B35" s="451" t="s">
        <v>404</v>
      </c>
      <c r="C35" s="452"/>
      <c r="D35" s="452"/>
      <c r="E35" s="452"/>
      <c r="F35" s="452"/>
    </row>
    <row r="36" spans="1:6" ht="35" customHeight="1" thickBot="1" x14ac:dyDescent="0.25">
      <c r="A36" s="223" t="s">
        <v>414</v>
      </c>
      <c r="B36" s="226" t="s">
        <v>421</v>
      </c>
      <c r="C36" s="226" t="s">
        <v>421</v>
      </c>
      <c r="D36" s="227" t="s">
        <v>366</v>
      </c>
      <c r="E36" s="227" t="s">
        <v>366</v>
      </c>
      <c r="F36" s="224" t="s">
        <v>368</v>
      </c>
    </row>
    <row r="37" spans="1:6" ht="35" customHeight="1" thickBot="1" x14ac:dyDescent="0.25">
      <c r="A37" s="223" t="s">
        <v>416</v>
      </c>
      <c r="B37" s="226" t="s">
        <v>421</v>
      </c>
      <c r="C37" s="226" t="s">
        <v>421</v>
      </c>
      <c r="D37" s="227" t="s">
        <v>366</v>
      </c>
      <c r="E37" s="227" t="s">
        <v>366</v>
      </c>
      <c r="F37" s="224" t="s">
        <v>368</v>
      </c>
    </row>
    <row r="38" spans="1:6" ht="35" customHeight="1" thickBot="1" x14ac:dyDescent="0.25">
      <c r="A38" s="223" t="s">
        <v>417</v>
      </c>
      <c r="B38" s="226" t="s">
        <v>421</v>
      </c>
      <c r="C38" s="226" t="s">
        <v>421</v>
      </c>
      <c r="D38" s="227" t="s">
        <v>406</v>
      </c>
      <c r="E38" s="227" t="s">
        <v>406</v>
      </c>
      <c r="F38" s="224" t="s">
        <v>368</v>
      </c>
    </row>
    <row r="39" spans="1:6" ht="35" customHeight="1" thickBot="1" x14ac:dyDescent="0.25">
      <c r="A39" s="223" t="s">
        <v>418</v>
      </c>
      <c r="B39" s="451" t="s">
        <v>404</v>
      </c>
      <c r="C39" s="452"/>
      <c r="D39" s="452"/>
      <c r="E39" s="452"/>
      <c r="F39" s="452"/>
    </row>
    <row r="40" spans="1:6" ht="35" customHeight="1" thickBot="1" x14ac:dyDescent="0.25">
      <c r="A40" s="223" t="s">
        <v>419</v>
      </c>
      <c r="B40" s="228" t="s">
        <v>408</v>
      </c>
      <c r="C40" s="228" t="s">
        <v>408</v>
      </c>
      <c r="D40" s="229" t="s">
        <v>370</v>
      </c>
      <c r="E40" s="229" t="s">
        <v>370</v>
      </c>
      <c r="F40" s="229" t="s">
        <v>370</v>
      </c>
    </row>
    <row r="41" spans="1:6" ht="35" customHeight="1" thickBot="1" x14ac:dyDescent="0.25">
      <c r="A41" s="223" t="s">
        <v>420</v>
      </c>
      <c r="B41" s="446" t="s">
        <v>409</v>
      </c>
      <c r="C41" s="447"/>
      <c r="D41" s="447"/>
      <c r="E41" s="447"/>
      <c r="F41" s="230" t="s">
        <v>410</v>
      </c>
    </row>
  </sheetData>
  <mergeCells count="12">
    <mergeCell ref="B41:E41"/>
    <mergeCell ref="A1:F1"/>
    <mergeCell ref="B5:F5"/>
    <mergeCell ref="B9:F9"/>
    <mergeCell ref="B11:E11"/>
    <mergeCell ref="A16:F16"/>
    <mergeCell ref="B20:F20"/>
    <mergeCell ref="B24:F24"/>
    <mergeCell ref="B26:E26"/>
    <mergeCell ref="A31:F31"/>
    <mergeCell ref="B35:F35"/>
    <mergeCell ref="B39:F39"/>
  </mergeCells>
  <printOptions horizontalCentered="1" verticalCentered="1"/>
  <pageMargins left="0.70000000000000007" right="0.70000000000000007" top="0.75000000000000011" bottom="0.75000000000000011" header="0.30000000000000004" footer="0.30000000000000004"/>
  <pageSetup scale="68" fitToHeight="0" orientation="landscape" horizontalDpi="0" verticalDpi="0" copies="5"/>
  <rowBreaks count="2" manualBreakCount="2">
    <brk id="15" max="16383" man="1"/>
    <brk id="30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2">
    <pageSetUpPr fitToPage="1"/>
  </sheetPr>
  <dimension ref="A1:AK41"/>
  <sheetViews>
    <sheetView zoomScale="109" zoomScaleNormal="115" workbookViewId="0">
      <selection activeCell="D9" sqref="D9"/>
    </sheetView>
  </sheetViews>
  <sheetFormatPr baseColWidth="10" defaultColWidth="10.83203125" defaultRowHeight="16" x14ac:dyDescent="0.2"/>
  <cols>
    <col min="1" max="1" width="3.83203125" style="165" customWidth="1"/>
    <col min="2" max="2" width="35.33203125" style="165" customWidth="1"/>
    <col min="3" max="37" width="5.1640625" style="165" customWidth="1"/>
    <col min="38" max="16384" width="10.83203125" style="165"/>
  </cols>
  <sheetData>
    <row r="1" spans="1:37" ht="27.75" customHeight="1" x14ac:dyDescent="0.2">
      <c r="B1" s="453" t="s">
        <v>378</v>
      </c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  <c r="X1" s="453"/>
      <c r="Y1" s="453"/>
      <c r="Z1" s="453"/>
      <c r="AA1" s="453"/>
      <c r="AB1" s="453"/>
      <c r="AC1" s="453"/>
      <c r="AD1" s="453"/>
      <c r="AE1" s="453"/>
      <c r="AF1" s="453"/>
      <c r="AG1" s="453"/>
      <c r="AH1" s="453"/>
      <c r="AI1" s="453"/>
      <c r="AJ1" s="453"/>
      <c r="AK1" s="453"/>
    </row>
    <row r="2" spans="1:37" ht="27.75" customHeight="1" thickBot="1" x14ac:dyDescent="0.25">
      <c r="B2" s="454" t="s">
        <v>379</v>
      </c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4"/>
      <c r="V2" s="454"/>
      <c r="W2" s="454"/>
      <c r="X2" s="454"/>
      <c r="Y2" s="454"/>
      <c r="Z2" s="454"/>
      <c r="AA2" s="454"/>
      <c r="AB2" s="454"/>
      <c r="AC2" s="454"/>
      <c r="AD2" s="454"/>
      <c r="AE2" s="454"/>
      <c r="AF2" s="454"/>
      <c r="AG2" s="454"/>
      <c r="AH2" s="454"/>
      <c r="AI2" s="454"/>
      <c r="AJ2" s="454"/>
      <c r="AK2" s="454"/>
    </row>
    <row r="3" spans="1:37" ht="17" thickBot="1" x14ac:dyDescent="0.25">
      <c r="P3" s="455" t="s">
        <v>380</v>
      </c>
      <c r="Q3" s="456"/>
      <c r="R3" s="456"/>
      <c r="S3" s="456"/>
      <c r="T3" s="456"/>
      <c r="U3" s="456"/>
      <c r="V3" s="456"/>
      <c r="W3" s="456"/>
      <c r="X3" s="456"/>
      <c r="Y3" s="456"/>
      <c r="Z3" s="456"/>
      <c r="AA3" s="456"/>
      <c r="AB3" s="456"/>
      <c r="AC3" s="456"/>
      <c r="AD3" s="456"/>
      <c r="AE3" s="456"/>
      <c r="AF3" s="456"/>
      <c r="AG3" s="456"/>
      <c r="AH3" s="456"/>
      <c r="AI3" s="456"/>
      <c r="AJ3" s="457"/>
    </row>
    <row r="4" spans="1:37" ht="20" customHeight="1" thickBot="1" x14ac:dyDescent="0.25">
      <c r="D4" s="458" t="s">
        <v>381</v>
      </c>
      <c r="E4" s="459"/>
      <c r="F4" s="459"/>
      <c r="G4" s="459"/>
      <c r="H4" s="460"/>
      <c r="I4" s="461"/>
      <c r="J4" s="166">
        <v>2</v>
      </c>
      <c r="P4" s="462" t="s">
        <v>382</v>
      </c>
      <c r="Q4" s="417"/>
      <c r="R4" s="417"/>
      <c r="S4" s="417"/>
      <c r="T4" s="417"/>
      <c r="U4" s="463"/>
      <c r="V4" s="166">
        <v>3</v>
      </c>
      <c r="W4" s="464" t="s">
        <v>383</v>
      </c>
      <c r="X4" s="417"/>
      <c r="Y4" s="417"/>
      <c r="Z4" s="417"/>
      <c r="AA4" s="417"/>
      <c r="AB4" s="463"/>
      <c r="AC4" s="166">
        <v>4</v>
      </c>
      <c r="AD4" s="465" t="s">
        <v>384</v>
      </c>
      <c r="AE4" s="456"/>
      <c r="AF4" s="456"/>
      <c r="AG4" s="456"/>
      <c r="AH4" s="456"/>
      <c r="AI4" s="457"/>
      <c r="AJ4" s="166">
        <v>4</v>
      </c>
    </row>
    <row r="5" spans="1:37" ht="17" thickBot="1" x14ac:dyDescent="0.25"/>
    <row r="6" spans="1:37" ht="23" customHeight="1" thickBot="1" x14ac:dyDescent="0.25">
      <c r="D6" s="466" t="s">
        <v>138</v>
      </c>
      <c r="E6" s="467"/>
      <c r="F6" s="467"/>
      <c r="G6" s="467"/>
      <c r="H6" s="467"/>
      <c r="I6" s="467"/>
      <c r="J6" s="467"/>
      <c r="K6" s="467"/>
      <c r="L6" s="467"/>
      <c r="M6" s="467"/>
      <c r="N6" s="467"/>
      <c r="O6" s="467"/>
      <c r="P6" s="467"/>
      <c r="Q6" s="467"/>
      <c r="R6" s="467"/>
      <c r="S6" s="467"/>
      <c r="T6" s="467"/>
      <c r="U6" s="467"/>
      <c r="V6" s="467"/>
      <c r="W6" s="467"/>
      <c r="X6" s="467"/>
      <c r="Y6" s="467"/>
      <c r="Z6" s="467"/>
      <c r="AA6" s="467"/>
      <c r="AB6" s="467"/>
      <c r="AC6" s="467"/>
      <c r="AD6" s="467"/>
      <c r="AE6" s="467"/>
      <c r="AF6" s="467"/>
      <c r="AG6" s="468"/>
    </row>
    <row r="7" spans="1:37" ht="23" customHeight="1" thickBot="1" x14ac:dyDescent="0.25">
      <c r="D7" s="469" t="s">
        <v>14</v>
      </c>
      <c r="E7" s="470"/>
      <c r="F7" s="470"/>
      <c r="G7" s="470"/>
      <c r="H7" s="470"/>
      <c r="I7" s="470"/>
      <c r="J7" s="470"/>
      <c r="K7" s="470"/>
      <c r="L7" s="470"/>
      <c r="M7" s="471"/>
      <c r="N7" s="472" t="s">
        <v>385</v>
      </c>
      <c r="O7" s="473"/>
      <c r="P7" s="473"/>
      <c r="Q7" s="473"/>
      <c r="R7" s="473"/>
      <c r="S7" s="473"/>
      <c r="T7" s="473"/>
      <c r="U7" s="473"/>
      <c r="V7" s="473"/>
      <c r="W7" s="474"/>
      <c r="X7" s="475" t="s">
        <v>384</v>
      </c>
      <c r="Y7" s="476"/>
      <c r="Z7" s="476"/>
      <c r="AA7" s="476"/>
      <c r="AB7" s="476"/>
      <c r="AC7" s="476"/>
      <c r="AD7" s="476"/>
      <c r="AE7" s="476"/>
      <c r="AF7" s="476"/>
      <c r="AG7" s="477"/>
    </row>
    <row r="8" spans="1:37" ht="100" thickBot="1" x14ac:dyDescent="0.25">
      <c r="A8" s="166" t="s">
        <v>251</v>
      </c>
      <c r="B8" s="166" t="s">
        <v>60</v>
      </c>
      <c r="C8" s="167" t="s">
        <v>13</v>
      </c>
      <c r="D8" s="168" t="s">
        <v>386</v>
      </c>
      <c r="E8" s="169" t="s">
        <v>362</v>
      </c>
      <c r="F8" s="169" t="s">
        <v>387</v>
      </c>
      <c r="G8" s="169" t="s">
        <v>44</v>
      </c>
      <c r="H8" s="169" t="s">
        <v>368</v>
      </c>
      <c r="I8" s="169" t="s">
        <v>388</v>
      </c>
      <c r="J8" s="169" t="s">
        <v>389</v>
      </c>
      <c r="K8" s="169" t="s">
        <v>370</v>
      </c>
      <c r="L8" s="169" t="s">
        <v>24</v>
      </c>
      <c r="M8" s="170" t="s">
        <v>57</v>
      </c>
      <c r="N8" s="168" t="s">
        <v>386</v>
      </c>
      <c r="O8" s="169" t="s">
        <v>362</v>
      </c>
      <c r="P8" s="169" t="s">
        <v>390</v>
      </c>
      <c r="Q8" s="169" t="s">
        <v>366</v>
      </c>
      <c r="R8" s="169" t="s">
        <v>150</v>
      </c>
      <c r="S8" s="169" t="s">
        <v>368</v>
      </c>
      <c r="T8" s="169" t="s">
        <v>388</v>
      </c>
      <c r="U8" s="169" t="s">
        <v>389</v>
      </c>
      <c r="V8" s="169" t="s">
        <v>370</v>
      </c>
      <c r="W8" s="170" t="s">
        <v>57</v>
      </c>
      <c r="X8" s="168" t="s">
        <v>386</v>
      </c>
      <c r="Y8" s="169" t="s">
        <v>362</v>
      </c>
      <c r="Z8" s="169" t="s">
        <v>390</v>
      </c>
      <c r="AA8" s="169" t="s">
        <v>366</v>
      </c>
      <c r="AB8" s="169" t="s">
        <v>150</v>
      </c>
      <c r="AC8" s="169" t="s">
        <v>368</v>
      </c>
      <c r="AD8" s="169" t="s">
        <v>388</v>
      </c>
      <c r="AE8" s="169" t="s">
        <v>389</v>
      </c>
      <c r="AF8" s="169" t="s">
        <v>370</v>
      </c>
      <c r="AG8" s="170" t="s">
        <v>57</v>
      </c>
      <c r="AH8" s="171" t="s">
        <v>391</v>
      </c>
      <c r="AI8" s="171" t="s">
        <v>18</v>
      </c>
      <c r="AJ8" s="171" t="s">
        <v>392</v>
      </c>
      <c r="AK8" s="172" t="s">
        <v>393</v>
      </c>
    </row>
    <row r="9" spans="1:37" ht="20" customHeight="1" x14ac:dyDescent="0.2">
      <c r="A9" s="173">
        <v>1</v>
      </c>
      <c r="B9" s="174"/>
      <c r="C9" s="175"/>
      <c r="D9" s="176"/>
      <c r="E9" s="177"/>
      <c r="F9" s="177"/>
      <c r="G9" s="177"/>
      <c r="H9" s="177"/>
      <c r="I9" s="177"/>
      <c r="J9" s="177"/>
      <c r="K9" s="177"/>
      <c r="L9" s="177"/>
      <c r="M9" s="178"/>
      <c r="N9" s="176"/>
      <c r="O9" s="177"/>
      <c r="P9" s="177"/>
      <c r="Q9" s="177"/>
      <c r="R9" s="177"/>
      <c r="S9" s="177"/>
      <c r="T9" s="177"/>
      <c r="U9" s="177"/>
      <c r="V9" s="177"/>
      <c r="W9" s="178"/>
      <c r="X9" s="176"/>
      <c r="Y9" s="177"/>
      <c r="Z9" s="177"/>
      <c r="AA9" s="177"/>
      <c r="AB9" s="177"/>
      <c r="AC9" s="177"/>
      <c r="AD9" s="177"/>
      <c r="AE9" s="177"/>
      <c r="AF9" s="177"/>
      <c r="AG9" s="178"/>
      <c r="AH9" s="179"/>
      <c r="AI9" s="179">
        <f>SUM(D9:AH9)</f>
        <v>0</v>
      </c>
      <c r="AJ9" s="179">
        <f>C9-AI9</f>
        <v>0</v>
      </c>
      <c r="AK9" s="179" t="str">
        <f>IF(AJ9&lt;&gt;0,"X","")</f>
        <v/>
      </c>
    </row>
    <row r="10" spans="1:37" ht="20" customHeight="1" x14ac:dyDescent="0.2">
      <c r="A10" s="180">
        <v>2</v>
      </c>
      <c r="B10" s="181"/>
      <c r="C10" s="182"/>
      <c r="D10" s="183"/>
      <c r="E10" s="184"/>
      <c r="F10" s="184"/>
      <c r="G10" s="184"/>
      <c r="H10" s="184"/>
      <c r="I10" s="184"/>
      <c r="J10" s="184"/>
      <c r="K10" s="184"/>
      <c r="L10" s="184"/>
      <c r="M10" s="185"/>
      <c r="N10" s="183"/>
      <c r="O10" s="184"/>
      <c r="P10" s="184"/>
      <c r="Q10" s="184"/>
      <c r="R10" s="184"/>
      <c r="S10" s="184"/>
      <c r="T10" s="184"/>
      <c r="U10" s="184"/>
      <c r="V10" s="184"/>
      <c r="W10" s="185"/>
      <c r="X10" s="183"/>
      <c r="Y10" s="184"/>
      <c r="Z10" s="184"/>
      <c r="AA10" s="184"/>
      <c r="AB10" s="184"/>
      <c r="AC10" s="184"/>
      <c r="AD10" s="184"/>
      <c r="AE10" s="184"/>
      <c r="AF10" s="184"/>
      <c r="AG10" s="185"/>
      <c r="AH10" s="186"/>
      <c r="AI10" s="186">
        <f t="shared" ref="AI10:AI34" si="0">SUM(D10:AH10)</f>
        <v>0</v>
      </c>
      <c r="AJ10" s="186">
        <f t="shared" ref="AJ10:AJ34" si="1">C10-AI10</f>
        <v>0</v>
      </c>
      <c r="AK10" s="186" t="str">
        <f t="shared" ref="AK10:AK34" si="2">IF(AJ10&lt;&gt;0,"X","")</f>
        <v/>
      </c>
    </row>
    <row r="11" spans="1:37" ht="20" customHeight="1" x14ac:dyDescent="0.2">
      <c r="A11" s="180">
        <v>3</v>
      </c>
      <c r="B11" s="181"/>
      <c r="C11" s="182"/>
      <c r="D11" s="183"/>
      <c r="E11" s="184"/>
      <c r="F11" s="184"/>
      <c r="G11" s="184"/>
      <c r="H11" s="184"/>
      <c r="I11" s="184"/>
      <c r="J11" s="184"/>
      <c r="K11" s="184"/>
      <c r="L11" s="184"/>
      <c r="M11" s="185"/>
      <c r="N11" s="183"/>
      <c r="O11" s="184"/>
      <c r="P11" s="184"/>
      <c r="Q11" s="184"/>
      <c r="R11" s="184"/>
      <c r="S11" s="184"/>
      <c r="T11" s="184"/>
      <c r="U11" s="184"/>
      <c r="V11" s="184"/>
      <c r="W11" s="185"/>
      <c r="X11" s="183"/>
      <c r="Y11" s="184"/>
      <c r="Z11" s="184"/>
      <c r="AA11" s="184"/>
      <c r="AB11" s="184"/>
      <c r="AC11" s="184"/>
      <c r="AD11" s="184"/>
      <c r="AE11" s="184"/>
      <c r="AF11" s="184"/>
      <c r="AG11" s="185"/>
      <c r="AH11" s="186"/>
      <c r="AI11" s="186">
        <f t="shared" si="0"/>
        <v>0</v>
      </c>
      <c r="AJ11" s="186">
        <f t="shared" si="1"/>
        <v>0</v>
      </c>
      <c r="AK11" s="186" t="str">
        <f t="shared" si="2"/>
        <v/>
      </c>
    </row>
    <row r="12" spans="1:37" ht="20" customHeight="1" x14ac:dyDescent="0.2">
      <c r="A12" s="180">
        <v>4</v>
      </c>
      <c r="B12" s="181"/>
      <c r="C12" s="182"/>
      <c r="D12" s="183"/>
      <c r="E12" s="184"/>
      <c r="F12" s="184"/>
      <c r="G12" s="184"/>
      <c r="H12" s="184"/>
      <c r="I12" s="184"/>
      <c r="J12" s="184"/>
      <c r="K12" s="184"/>
      <c r="L12" s="184"/>
      <c r="M12" s="185"/>
      <c r="N12" s="183"/>
      <c r="O12" s="184"/>
      <c r="P12" s="184"/>
      <c r="Q12" s="184"/>
      <c r="R12" s="184"/>
      <c r="S12" s="184"/>
      <c r="T12" s="184"/>
      <c r="U12" s="184"/>
      <c r="V12" s="184"/>
      <c r="W12" s="185"/>
      <c r="X12" s="183"/>
      <c r="Y12" s="184"/>
      <c r="Z12" s="184"/>
      <c r="AA12" s="184"/>
      <c r="AB12" s="184"/>
      <c r="AC12" s="184"/>
      <c r="AD12" s="184"/>
      <c r="AE12" s="184"/>
      <c r="AF12" s="184"/>
      <c r="AG12" s="185"/>
      <c r="AH12" s="186"/>
      <c r="AI12" s="186">
        <f t="shared" si="0"/>
        <v>0</v>
      </c>
      <c r="AJ12" s="186">
        <f t="shared" si="1"/>
        <v>0</v>
      </c>
      <c r="AK12" s="186" t="str">
        <f t="shared" si="2"/>
        <v/>
      </c>
    </row>
    <row r="13" spans="1:37" ht="20" customHeight="1" x14ac:dyDescent="0.2">
      <c r="A13" s="180">
        <v>5</v>
      </c>
      <c r="B13" s="181"/>
      <c r="C13" s="182"/>
      <c r="D13" s="183"/>
      <c r="E13" s="184"/>
      <c r="F13" s="184"/>
      <c r="G13" s="184"/>
      <c r="H13" s="184"/>
      <c r="I13" s="184"/>
      <c r="J13" s="184"/>
      <c r="K13" s="184"/>
      <c r="L13" s="184"/>
      <c r="M13" s="185"/>
      <c r="N13" s="183"/>
      <c r="O13" s="184"/>
      <c r="P13" s="184"/>
      <c r="Q13" s="184"/>
      <c r="R13" s="184"/>
      <c r="S13" s="184"/>
      <c r="T13" s="184"/>
      <c r="U13" s="184"/>
      <c r="V13" s="184"/>
      <c r="W13" s="185"/>
      <c r="X13" s="183"/>
      <c r="Y13" s="184"/>
      <c r="Z13" s="184"/>
      <c r="AA13" s="184"/>
      <c r="AB13" s="184"/>
      <c r="AC13" s="184"/>
      <c r="AD13" s="184"/>
      <c r="AE13" s="184"/>
      <c r="AF13" s="184"/>
      <c r="AG13" s="185"/>
      <c r="AH13" s="186"/>
      <c r="AI13" s="186">
        <f t="shared" si="0"/>
        <v>0</v>
      </c>
      <c r="AJ13" s="186">
        <f t="shared" si="1"/>
        <v>0</v>
      </c>
      <c r="AK13" s="186" t="str">
        <f t="shared" si="2"/>
        <v/>
      </c>
    </row>
    <row r="14" spans="1:37" ht="20" customHeight="1" x14ac:dyDescent="0.2">
      <c r="A14" s="180">
        <v>6</v>
      </c>
      <c r="B14" s="181"/>
      <c r="C14" s="182"/>
      <c r="D14" s="183"/>
      <c r="E14" s="184"/>
      <c r="F14" s="184"/>
      <c r="G14" s="184"/>
      <c r="H14" s="184"/>
      <c r="I14" s="184"/>
      <c r="J14" s="184"/>
      <c r="K14" s="184"/>
      <c r="L14" s="184"/>
      <c r="M14" s="185"/>
      <c r="N14" s="183"/>
      <c r="O14" s="184"/>
      <c r="P14" s="184"/>
      <c r="Q14" s="184"/>
      <c r="R14" s="184"/>
      <c r="S14" s="184"/>
      <c r="T14" s="184"/>
      <c r="U14" s="184"/>
      <c r="V14" s="184"/>
      <c r="W14" s="185"/>
      <c r="X14" s="183"/>
      <c r="Y14" s="184"/>
      <c r="Z14" s="184"/>
      <c r="AA14" s="184"/>
      <c r="AB14" s="184"/>
      <c r="AC14" s="184"/>
      <c r="AD14" s="184"/>
      <c r="AE14" s="184"/>
      <c r="AF14" s="184"/>
      <c r="AG14" s="185"/>
      <c r="AH14" s="186"/>
      <c r="AI14" s="186">
        <f t="shared" si="0"/>
        <v>0</v>
      </c>
      <c r="AJ14" s="186">
        <f t="shared" si="1"/>
        <v>0</v>
      </c>
      <c r="AK14" s="186" t="str">
        <f t="shared" si="2"/>
        <v/>
      </c>
    </row>
    <row r="15" spans="1:37" ht="20" customHeight="1" x14ac:dyDescent="0.2">
      <c r="A15" s="180">
        <v>7</v>
      </c>
      <c r="B15" s="181"/>
      <c r="C15" s="182"/>
      <c r="D15" s="183"/>
      <c r="E15" s="184"/>
      <c r="F15" s="184"/>
      <c r="G15" s="184"/>
      <c r="H15" s="184"/>
      <c r="I15" s="184"/>
      <c r="J15" s="184"/>
      <c r="K15" s="184"/>
      <c r="L15" s="184"/>
      <c r="M15" s="185"/>
      <c r="N15" s="183"/>
      <c r="O15" s="184"/>
      <c r="P15" s="184"/>
      <c r="Q15" s="184"/>
      <c r="R15" s="184"/>
      <c r="S15" s="184"/>
      <c r="T15" s="184"/>
      <c r="U15" s="184"/>
      <c r="V15" s="184"/>
      <c r="W15" s="185"/>
      <c r="X15" s="183"/>
      <c r="Y15" s="184"/>
      <c r="Z15" s="184"/>
      <c r="AA15" s="184"/>
      <c r="AB15" s="184"/>
      <c r="AC15" s="184"/>
      <c r="AD15" s="184"/>
      <c r="AE15" s="184"/>
      <c r="AF15" s="184"/>
      <c r="AG15" s="185"/>
      <c r="AH15" s="186"/>
      <c r="AI15" s="186">
        <f t="shared" si="0"/>
        <v>0</v>
      </c>
      <c r="AJ15" s="186">
        <f t="shared" si="1"/>
        <v>0</v>
      </c>
      <c r="AK15" s="186" t="str">
        <f t="shared" si="2"/>
        <v/>
      </c>
    </row>
    <row r="16" spans="1:37" ht="20" customHeight="1" x14ac:dyDescent="0.2">
      <c r="A16" s="180">
        <v>8</v>
      </c>
      <c r="B16" s="181"/>
      <c r="C16" s="182"/>
      <c r="D16" s="183"/>
      <c r="E16" s="184"/>
      <c r="F16" s="184"/>
      <c r="G16" s="184"/>
      <c r="H16" s="184"/>
      <c r="I16" s="184"/>
      <c r="J16" s="184"/>
      <c r="K16" s="184"/>
      <c r="L16" s="184"/>
      <c r="M16" s="185"/>
      <c r="N16" s="183"/>
      <c r="O16" s="184"/>
      <c r="P16" s="184"/>
      <c r="Q16" s="184"/>
      <c r="R16" s="184"/>
      <c r="S16" s="184"/>
      <c r="T16" s="184"/>
      <c r="U16" s="184"/>
      <c r="V16" s="184"/>
      <c r="W16" s="185"/>
      <c r="X16" s="183">
        <v>10</v>
      </c>
      <c r="Y16" s="184"/>
      <c r="Z16" s="184"/>
      <c r="AA16" s="184"/>
      <c r="AB16" s="184">
        <v>4</v>
      </c>
      <c r="AC16" s="184"/>
      <c r="AD16" s="184"/>
      <c r="AE16" s="184"/>
      <c r="AF16" s="184"/>
      <c r="AG16" s="185">
        <v>1</v>
      </c>
      <c r="AH16" s="186"/>
      <c r="AI16" s="186">
        <f t="shared" si="0"/>
        <v>15</v>
      </c>
      <c r="AJ16" s="186">
        <f t="shared" si="1"/>
        <v>-15</v>
      </c>
      <c r="AK16" s="186" t="str">
        <f t="shared" si="2"/>
        <v>X</v>
      </c>
    </row>
    <row r="17" spans="1:37" ht="20" customHeight="1" x14ac:dyDescent="0.2">
      <c r="A17" s="180">
        <v>9</v>
      </c>
      <c r="B17" s="181"/>
      <c r="C17" s="182"/>
      <c r="D17" s="183"/>
      <c r="E17" s="184"/>
      <c r="F17" s="184"/>
      <c r="G17" s="184"/>
      <c r="H17" s="184"/>
      <c r="I17" s="184"/>
      <c r="J17" s="184"/>
      <c r="K17" s="184"/>
      <c r="L17" s="184"/>
      <c r="M17" s="185"/>
      <c r="N17" s="183"/>
      <c r="O17" s="184"/>
      <c r="P17" s="184"/>
      <c r="Q17" s="184"/>
      <c r="R17" s="184"/>
      <c r="S17" s="184"/>
      <c r="T17" s="184"/>
      <c r="U17" s="184"/>
      <c r="V17" s="184"/>
      <c r="W17" s="185"/>
      <c r="X17" s="183"/>
      <c r="Y17" s="184"/>
      <c r="Z17" s="184"/>
      <c r="AA17" s="184"/>
      <c r="AB17" s="184"/>
      <c r="AC17" s="184"/>
      <c r="AD17" s="184"/>
      <c r="AE17" s="184"/>
      <c r="AF17" s="184"/>
      <c r="AG17" s="185"/>
      <c r="AH17" s="186"/>
      <c r="AI17" s="186">
        <f t="shared" si="0"/>
        <v>0</v>
      </c>
      <c r="AJ17" s="186">
        <f t="shared" si="1"/>
        <v>0</v>
      </c>
      <c r="AK17" s="186" t="str">
        <f t="shared" si="2"/>
        <v/>
      </c>
    </row>
    <row r="18" spans="1:37" ht="20" customHeight="1" x14ac:dyDescent="0.2">
      <c r="A18" s="180">
        <v>10</v>
      </c>
      <c r="B18" s="181"/>
      <c r="C18" s="182"/>
      <c r="D18" s="183"/>
      <c r="E18" s="184"/>
      <c r="F18" s="184"/>
      <c r="G18" s="184"/>
      <c r="H18" s="184"/>
      <c r="I18" s="184"/>
      <c r="J18" s="184"/>
      <c r="K18" s="184"/>
      <c r="L18" s="184"/>
      <c r="M18" s="185"/>
      <c r="N18" s="183"/>
      <c r="O18" s="184"/>
      <c r="P18" s="184"/>
      <c r="Q18" s="184"/>
      <c r="R18" s="184"/>
      <c r="S18" s="184"/>
      <c r="T18" s="184"/>
      <c r="U18" s="184"/>
      <c r="V18" s="184"/>
      <c r="W18" s="185"/>
      <c r="X18" s="183"/>
      <c r="Y18" s="184"/>
      <c r="Z18" s="184"/>
      <c r="AA18" s="184"/>
      <c r="AB18" s="184"/>
      <c r="AC18" s="184"/>
      <c r="AD18" s="184"/>
      <c r="AE18" s="184"/>
      <c r="AF18" s="184"/>
      <c r="AG18" s="185"/>
      <c r="AH18" s="186"/>
      <c r="AI18" s="186">
        <f t="shared" si="0"/>
        <v>0</v>
      </c>
      <c r="AJ18" s="186">
        <f t="shared" si="1"/>
        <v>0</v>
      </c>
      <c r="AK18" s="186" t="str">
        <f t="shared" si="2"/>
        <v/>
      </c>
    </row>
    <row r="19" spans="1:37" ht="20" customHeight="1" x14ac:dyDescent="0.2">
      <c r="A19" s="180">
        <v>11</v>
      </c>
      <c r="B19" s="181"/>
      <c r="C19" s="182"/>
      <c r="D19" s="183"/>
      <c r="E19" s="184"/>
      <c r="F19" s="184"/>
      <c r="G19" s="184"/>
      <c r="H19" s="184"/>
      <c r="I19" s="184"/>
      <c r="J19" s="184"/>
      <c r="K19" s="184"/>
      <c r="L19" s="184"/>
      <c r="M19" s="185"/>
      <c r="N19" s="183"/>
      <c r="O19" s="184"/>
      <c r="P19" s="184"/>
      <c r="Q19" s="184"/>
      <c r="R19" s="184"/>
      <c r="S19" s="184"/>
      <c r="T19" s="184"/>
      <c r="U19" s="184"/>
      <c r="V19" s="184"/>
      <c r="W19" s="185"/>
      <c r="X19" s="183"/>
      <c r="Y19" s="184"/>
      <c r="Z19" s="184"/>
      <c r="AA19" s="184"/>
      <c r="AB19" s="184"/>
      <c r="AC19" s="184"/>
      <c r="AD19" s="184"/>
      <c r="AE19" s="184"/>
      <c r="AF19" s="184"/>
      <c r="AG19" s="185"/>
      <c r="AH19" s="186"/>
      <c r="AI19" s="186">
        <f t="shared" si="0"/>
        <v>0</v>
      </c>
      <c r="AJ19" s="186">
        <f t="shared" si="1"/>
        <v>0</v>
      </c>
      <c r="AK19" s="186" t="str">
        <f t="shared" si="2"/>
        <v/>
      </c>
    </row>
    <row r="20" spans="1:37" ht="20" customHeight="1" x14ac:dyDescent="0.2">
      <c r="A20" s="180">
        <v>12</v>
      </c>
      <c r="B20" s="181"/>
      <c r="C20" s="182"/>
      <c r="D20" s="183"/>
      <c r="E20" s="184"/>
      <c r="F20" s="184"/>
      <c r="G20" s="184"/>
      <c r="H20" s="184"/>
      <c r="I20" s="184"/>
      <c r="J20" s="184"/>
      <c r="K20" s="184"/>
      <c r="L20" s="184"/>
      <c r="M20" s="185"/>
      <c r="N20" s="183"/>
      <c r="O20" s="184"/>
      <c r="P20" s="184"/>
      <c r="Q20" s="184"/>
      <c r="R20" s="184"/>
      <c r="S20" s="184"/>
      <c r="T20" s="184"/>
      <c r="U20" s="184"/>
      <c r="V20" s="184"/>
      <c r="W20" s="185"/>
      <c r="X20" s="183"/>
      <c r="Y20" s="184"/>
      <c r="Z20" s="184"/>
      <c r="AA20" s="184"/>
      <c r="AB20" s="184"/>
      <c r="AC20" s="184"/>
      <c r="AD20" s="184"/>
      <c r="AE20" s="184"/>
      <c r="AF20" s="184"/>
      <c r="AG20" s="185"/>
      <c r="AH20" s="186"/>
      <c r="AI20" s="186">
        <f t="shared" si="0"/>
        <v>0</v>
      </c>
      <c r="AJ20" s="186">
        <f t="shared" si="1"/>
        <v>0</v>
      </c>
      <c r="AK20" s="186" t="str">
        <f t="shared" si="2"/>
        <v/>
      </c>
    </row>
    <row r="21" spans="1:37" ht="20" customHeight="1" x14ac:dyDescent="0.2">
      <c r="A21" s="180">
        <v>13</v>
      </c>
      <c r="B21" s="181"/>
      <c r="C21" s="182"/>
      <c r="D21" s="183"/>
      <c r="E21" s="184"/>
      <c r="F21" s="184"/>
      <c r="G21" s="184"/>
      <c r="H21" s="184"/>
      <c r="I21" s="184"/>
      <c r="J21" s="184"/>
      <c r="K21" s="184"/>
      <c r="L21" s="184"/>
      <c r="M21" s="185"/>
      <c r="N21" s="183"/>
      <c r="O21" s="184"/>
      <c r="P21" s="184"/>
      <c r="Q21" s="184"/>
      <c r="R21" s="184"/>
      <c r="S21" s="184"/>
      <c r="T21" s="184"/>
      <c r="U21" s="184"/>
      <c r="V21" s="184"/>
      <c r="W21" s="185"/>
      <c r="X21" s="183"/>
      <c r="Y21" s="184"/>
      <c r="Z21" s="184"/>
      <c r="AA21" s="184"/>
      <c r="AB21" s="184"/>
      <c r="AC21" s="184"/>
      <c r="AD21" s="184"/>
      <c r="AE21" s="184"/>
      <c r="AF21" s="184"/>
      <c r="AG21" s="185"/>
      <c r="AH21" s="186"/>
      <c r="AI21" s="186">
        <f t="shared" si="0"/>
        <v>0</v>
      </c>
      <c r="AJ21" s="186">
        <f t="shared" si="1"/>
        <v>0</v>
      </c>
      <c r="AK21" s="186" t="str">
        <f t="shared" si="2"/>
        <v/>
      </c>
    </row>
    <row r="22" spans="1:37" ht="20" customHeight="1" x14ac:dyDescent="0.2">
      <c r="A22" s="180">
        <v>14</v>
      </c>
      <c r="B22" s="181"/>
      <c r="C22" s="182"/>
      <c r="D22" s="183"/>
      <c r="E22" s="184"/>
      <c r="F22" s="184"/>
      <c r="G22" s="184"/>
      <c r="H22" s="184"/>
      <c r="I22" s="184"/>
      <c r="J22" s="184"/>
      <c r="K22" s="184"/>
      <c r="L22" s="184"/>
      <c r="M22" s="185"/>
      <c r="N22" s="183"/>
      <c r="O22" s="184"/>
      <c r="P22" s="184"/>
      <c r="Q22" s="184"/>
      <c r="R22" s="184"/>
      <c r="S22" s="184"/>
      <c r="T22" s="184"/>
      <c r="U22" s="184"/>
      <c r="V22" s="184"/>
      <c r="W22" s="185"/>
      <c r="X22" s="183"/>
      <c r="Y22" s="184"/>
      <c r="Z22" s="184"/>
      <c r="AA22" s="184"/>
      <c r="AB22" s="184"/>
      <c r="AC22" s="184"/>
      <c r="AD22" s="184"/>
      <c r="AE22" s="184"/>
      <c r="AF22" s="184"/>
      <c r="AG22" s="185"/>
      <c r="AH22" s="186"/>
      <c r="AI22" s="186">
        <f t="shared" si="0"/>
        <v>0</v>
      </c>
      <c r="AJ22" s="186">
        <f t="shared" si="1"/>
        <v>0</v>
      </c>
      <c r="AK22" s="186" t="str">
        <f t="shared" si="2"/>
        <v/>
      </c>
    </row>
    <row r="23" spans="1:37" ht="20" customHeight="1" x14ac:dyDescent="0.2">
      <c r="A23" s="180">
        <v>15</v>
      </c>
      <c r="B23" s="181"/>
      <c r="C23" s="182"/>
      <c r="D23" s="183"/>
      <c r="E23" s="184"/>
      <c r="F23" s="184"/>
      <c r="G23" s="184"/>
      <c r="H23" s="184"/>
      <c r="I23" s="184"/>
      <c r="J23" s="184"/>
      <c r="K23" s="184"/>
      <c r="L23" s="184"/>
      <c r="M23" s="185"/>
      <c r="N23" s="183"/>
      <c r="O23" s="184"/>
      <c r="P23" s="184"/>
      <c r="Q23" s="184"/>
      <c r="R23" s="184"/>
      <c r="S23" s="184"/>
      <c r="T23" s="184"/>
      <c r="U23" s="184"/>
      <c r="V23" s="184"/>
      <c r="W23" s="185"/>
      <c r="X23" s="183"/>
      <c r="Y23" s="184"/>
      <c r="Z23" s="184"/>
      <c r="AA23" s="184"/>
      <c r="AB23" s="184"/>
      <c r="AC23" s="184"/>
      <c r="AD23" s="184"/>
      <c r="AE23" s="184"/>
      <c r="AF23" s="184"/>
      <c r="AG23" s="185"/>
      <c r="AH23" s="186"/>
      <c r="AI23" s="186">
        <f t="shared" si="0"/>
        <v>0</v>
      </c>
      <c r="AJ23" s="186">
        <f t="shared" si="1"/>
        <v>0</v>
      </c>
      <c r="AK23" s="186" t="str">
        <f t="shared" si="2"/>
        <v/>
      </c>
    </row>
    <row r="24" spans="1:37" ht="20" customHeight="1" x14ac:dyDescent="0.2">
      <c r="A24" s="180">
        <v>16</v>
      </c>
      <c r="B24" s="181"/>
      <c r="C24" s="182"/>
      <c r="D24" s="183"/>
      <c r="E24" s="184"/>
      <c r="F24" s="184"/>
      <c r="G24" s="184"/>
      <c r="H24" s="184"/>
      <c r="I24" s="184"/>
      <c r="J24" s="184"/>
      <c r="K24" s="184"/>
      <c r="L24" s="184"/>
      <c r="M24" s="185"/>
      <c r="N24" s="183"/>
      <c r="O24" s="184"/>
      <c r="P24" s="184"/>
      <c r="Q24" s="184"/>
      <c r="R24" s="184"/>
      <c r="S24" s="184"/>
      <c r="T24" s="184"/>
      <c r="U24" s="184"/>
      <c r="V24" s="184"/>
      <c r="W24" s="185"/>
      <c r="X24" s="183"/>
      <c r="Y24" s="184"/>
      <c r="Z24" s="184"/>
      <c r="AA24" s="184"/>
      <c r="AB24" s="184"/>
      <c r="AC24" s="184"/>
      <c r="AD24" s="184"/>
      <c r="AE24" s="184"/>
      <c r="AF24" s="184"/>
      <c r="AG24" s="185"/>
      <c r="AH24" s="186"/>
      <c r="AI24" s="186">
        <f t="shared" si="0"/>
        <v>0</v>
      </c>
      <c r="AJ24" s="186">
        <f t="shared" si="1"/>
        <v>0</v>
      </c>
      <c r="AK24" s="186" t="str">
        <f t="shared" si="2"/>
        <v/>
      </c>
    </row>
    <row r="25" spans="1:37" ht="20" customHeight="1" x14ac:dyDescent="0.2">
      <c r="A25" s="180">
        <v>17</v>
      </c>
      <c r="B25" s="181"/>
      <c r="C25" s="182"/>
      <c r="D25" s="183"/>
      <c r="E25" s="184"/>
      <c r="F25" s="184"/>
      <c r="G25" s="184"/>
      <c r="H25" s="184"/>
      <c r="I25" s="184"/>
      <c r="J25" s="184"/>
      <c r="K25" s="184"/>
      <c r="L25" s="184"/>
      <c r="M25" s="185"/>
      <c r="N25" s="183"/>
      <c r="O25" s="184"/>
      <c r="P25" s="184"/>
      <c r="Q25" s="184"/>
      <c r="R25" s="184"/>
      <c r="S25" s="184"/>
      <c r="T25" s="184"/>
      <c r="U25" s="184"/>
      <c r="V25" s="184"/>
      <c r="W25" s="185"/>
      <c r="X25" s="183"/>
      <c r="Y25" s="184"/>
      <c r="Z25" s="184"/>
      <c r="AA25" s="184"/>
      <c r="AB25" s="184"/>
      <c r="AC25" s="184"/>
      <c r="AD25" s="184"/>
      <c r="AE25" s="184"/>
      <c r="AF25" s="184"/>
      <c r="AG25" s="185"/>
      <c r="AH25" s="186"/>
      <c r="AI25" s="186">
        <f t="shared" si="0"/>
        <v>0</v>
      </c>
      <c r="AJ25" s="186">
        <f t="shared" si="1"/>
        <v>0</v>
      </c>
      <c r="AK25" s="186" t="str">
        <f t="shared" si="2"/>
        <v/>
      </c>
    </row>
    <row r="26" spans="1:37" ht="20" customHeight="1" x14ac:dyDescent="0.2">
      <c r="A26" s="180">
        <v>18</v>
      </c>
      <c r="B26" s="187"/>
      <c r="C26" s="188"/>
      <c r="D26" s="189"/>
      <c r="E26" s="190"/>
      <c r="F26" s="190"/>
      <c r="G26" s="190"/>
      <c r="H26" s="190"/>
      <c r="I26" s="190"/>
      <c r="J26" s="190"/>
      <c r="K26" s="190"/>
      <c r="L26" s="190"/>
      <c r="M26" s="191"/>
      <c r="N26" s="189"/>
      <c r="O26" s="190"/>
      <c r="P26" s="190"/>
      <c r="Q26" s="190"/>
      <c r="R26" s="190"/>
      <c r="S26" s="190"/>
      <c r="T26" s="190"/>
      <c r="U26" s="190"/>
      <c r="V26" s="190"/>
      <c r="W26" s="191"/>
      <c r="X26" s="189"/>
      <c r="Y26" s="190"/>
      <c r="Z26" s="190"/>
      <c r="AA26" s="190"/>
      <c r="AB26" s="190"/>
      <c r="AC26" s="190"/>
      <c r="AD26" s="190"/>
      <c r="AE26" s="190"/>
      <c r="AF26" s="190"/>
      <c r="AG26" s="191"/>
      <c r="AH26" s="192"/>
      <c r="AI26" s="192">
        <f t="shared" si="0"/>
        <v>0</v>
      </c>
      <c r="AJ26" s="192">
        <f t="shared" si="1"/>
        <v>0</v>
      </c>
      <c r="AK26" s="192" t="str">
        <f t="shared" si="2"/>
        <v/>
      </c>
    </row>
    <row r="27" spans="1:37" ht="20" customHeight="1" x14ac:dyDescent="0.2">
      <c r="A27" s="180">
        <v>19</v>
      </c>
      <c r="B27" s="193"/>
      <c r="C27" s="194"/>
      <c r="D27" s="195"/>
      <c r="E27" s="196"/>
      <c r="F27" s="196"/>
      <c r="G27" s="196"/>
      <c r="H27" s="196"/>
      <c r="I27" s="196"/>
      <c r="J27" s="196"/>
      <c r="K27" s="196"/>
      <c r="L27" s="196"/>
      <c r="M27" s="197"/>
      <c r="N27" s="195"/>
      <c r="O27" s="196"/>
      <c r="P27" s="196"/>
      <c r="Q27" s="196"/>
      <c r="R27" s="196"/>
      <c r="S27" s="196"/>
      <c r="T27" s="196"/>
      <c r="U27" s="196"/>
      <c r="V27" s="196"/>
      <c r="W27" s="197"/>
      <c r="X27" s="195"/>
      <c r="Y27" s="196"/>
      <c r="Z27" s="196"/>
      <c r="AA27" s="196"/>
      <c r="AB27" s="196"/>
      <c r="AC27" s="196"/>
      <c r="AD27" s="196"/>
      <c r="AE27" s="196"/>
      <c r="AF27" s="196"/>
      <c r="AG27" s="197"/>
      <c r="AH27" s="198"/>
      <c r="AI27" s="198">
        <f t="shared" si="0"/>
        <v>0</v>
      </c>
      <c r="AJ27" s="198">
        <f t="shared" si="1"/>
        <v>0</v>
      </c>
      <c r="AK27" s="192" t="str">
        <f t="shared" si="2"/>
        <v/>
      </c>
    </row>
    <row r="28" spans="1:37" ht="20" customHeight="1" x14ac:dyDescent="0.2">
      <c r="A28" s="180">
        <v>20</v>
      </c>
      <c r="B28" s="187"/>
      <c r="C28" s="188"/>
      <c r="D28" s="189"/>
      <c r="E28" s="190"/>
      <c r="F28" s="190"/>
      <c r="G28" s="190"/>
      <c r="H28" s="190"/>
      <c r="I28" s="190"/>
      <c r="J28" s="190"/>
      <c r="K28" s="190"/>
      <c r="L28" s="190"/>
      <c r="M28" s="191"/>
      <c r="N28" s="189"/>
      <c r="O28" s="190"/>
      <c r="P28" s="190"/>
      <c r="Q28" s="190"/>
      <c r="R28" s="190"/>
      <c r="S28" s="190"/>
      <c r="T28" s="190"/>
      <c r="U28" s="190"/>
      <c r="V28" s="190"/>
      <c r="W28" s="191"/>
      <c r="X28" s="189"/>
      <c r="Y28" s="190"/>
      <c r="Z28" s="190"/>
      <c r="AA28" s="190"/>
      <c r="AB28" s="190"/>
      <c r="AC28" s="190"/>
      <c r="AD28" s="190"/>
      <c r="AE28" s="190"/>
      <c r="AF28" s="190"/>
      <c r="AG28" s="191"/>
      <c r="AH28" s="192"/>
      <c r="AI28" s="192">
        <f t="shared" si="0"/>
        <v>0</v>
      </c>
      <c r="AJ28" s="192">
        <f t="shared" si="1"/>
        <v>0</v>
      </c>
      <c r="AK28" s="192" t="str">
        <f t="shared" si="2"/>
        <v/>
      </c>
    </row>
    <row r="29" spans="1:37" ht="20" customHeight="1" x14ac:dyDescent="0.2">
      <c r="A29" s="180">
        <v>21</v>
      </c>
      <c r="B29" s="187"/>
      <c r="C29" s="188"/>
      <c r="D29" s="189"/>
      <c r="E29" s="190"/>
      <c r="F29" s="190"/>
      <c r="G29" s="190"/>
      <c r="H29" s="190"/>
      <c r="I29" s="190"/>
      <c r="J29" s="190"/>
      <c r="K29" s="190"/>
      <c r="L29" s="190"/>
      <c r="M29" s="191"/>
      <c r="N29" s="189"/>
      <c r="O29" s="190"/>
      <c r="P29" s="190"/>
      <c r="Q29" s="190"/>
      <c r="R29" s="190"/>
      <c r="S29" s="190"/>
      <c r="T29" s="190"/>
      <c r="U29" s="190"/>
      <c r="V29" s="190"/>
      <c r="W29" s="191"/>
      <c r="X29" s="189"/>
      <c r="Y29" s="190"/>
      <c r="Z29" s="190"/>
      <c r="AA29" s="190"/>
      <c r="AB29" s="190"/>
      <c r="AC29" s="190"/>
      <c r="AD29" s="190"/>
      <c r="AE29" s="190"/>
      <c r="AF29" s="190"/>
      <c r="AG29" s="191"/>
      <c r="AH29" s="192"/>
      <c r="AI29" s="192">
        <f t="shared" si="0"/>
        <v>0</v>
      </c>
      <c r="AJ29" s="192">
        <f t="shared" si="1"/>
        <v>0</v>
      </c>
      <c r="AK29" s="192" t="str">
        <f t="shared" si="2"/>
        <v/>
      </c>
    </row>
    <row r="30" spans="1:37" ht="20" customHeight="1" x14ac:dyDescent="0.2">
      <c r="A30" s="180">
        <v>22</v>
      </c>
      <c r="B30" s="187"/>
      <c r="C30" s="188"/>
      <c r="D30" s="189"/>
      <c r="E30" s="190"/>
      <c r="F30" s="190"/>
      <c r="G30" s="190"/>
      <c r="H30" s="190"/>
      <c r="I30" s="190"/>
      <c r="J30" s="190"/>
      <c r="K30" s="190"/>
      <c r="L30" s="190"/>
      <c r="M30" s="191"/>
      <c r="N30" s="189"/>
      <c r="O30" s="190"/>
      <c r="P30" s="190"/>
      <c r="Q30" s="190"/>
      <c r="R30" s="190"/>
      <c r="S30" s="190"/>
      <c r="T30" s="190"/>
      <c r="U30" s="190"/>
      <c r="V30" s="190"/>
      <c r="W30" s="191"/>
      <c r="X30" s="189"/>
      <c r="Y30" s="190"/>
      <c r="Z30" s="190"/>
      <c r="AA30" s="190"/>
      <c r="AB30" s="190"/>
      <c r="AC30" s="190"/>
      <c r="AD30" s="190"/>
      <c r="AE30" s="190"/>
      <c r="AF30" s="190"/>
      <c r="AG30" s="191"/>
      <c r="AH30" s="192"/>
      <c r="AI30" s="192">
        <f t="shared" si="0"/>
        <v>0</v>
      </c>
      <c r="AJ30" s="192">
        <f t="shared" si="1"/>
        <v>0</v>
      </c>
      <c r="AK30" s="192" t="str">
        <f t="shared" si="2"/>
        <v/>
      </c>
    </row>
    <row r="31" spans="1:37" ht="20" customHeight="1" x14ac:dyDescent="0.2">
      <c r="A31" s="180">
        <v>23</v>
      </c>
      <c r="B31" s="187"/>
      <c r="C31" s="188"/>
      <c r="D31" s="189"/>
      <c r="E31" s="190"/>
      <c r="F31" s="190"/>
      <c r="G31" s="190"/>
      <c r="H31" s="190"/>
      <c r="I31" s="190"/>
      <c r="J31" s="190"/>
      <c r="K31" s="190"/>
      <c r="L31" s="190"/>
      <c r="M31" s="191"/>
      <c r="N31" s="189"/>
      <c r="O31" s="190"/>
      <c r="P31" s="190"/>
      <c r="Q31" s="190"/>
      <c r="R31" s="190"/>
      <c r="S31" s="190"/>
      <c r="T31" s="190"/>
      <c r="U31" s="190"/>
      <c r="V31" s="190"/>
      <c r="W31" s="191"/>
      <c r="X31" s="189"/>
      <c r="Y31" s="190"/>
      <c r="Z31" s="190"/>
      <c r="AA31" s="190"/>
      <c r="AB31" s="190"/>
      <c r="AC31" s="190"/>
      <c r="AD31" s="190"/>
      <c r="AE31" s="190"/>
      <c r="AF31" s="190"/>
      <c r="AG31" s="191"/>
      <c r="AH31" s="192"/>
      <c r="AI31" s="192">
        <f t="shared" si="0"/>
        <v>0</v>
      </c>
      <c r="AJ31" s="192">
        <f t="shared" si="1"/>
        <v>0</v>
      </c>
      <c r="AK31" s="192" t="str">
        <f t="shared" si="2"/>
        <v/>
      </c>
    </row>
    <row r="32" spans="1:37" ht="20" customHeight="1" x14ac:dyDescent="0.2">
      <c r="A32" s="180">
        <v>24</v>
      </c>
      <c r="B32" s="187"/>
      <c r="C32" s="188"/>
      <c r="D32" s="189"/>
      <c r="E32" s="190"/>
      <c r="F32" s="190"/>
      <c r="G32" s="190"/>
      <c r="H32" s="190"/>
      <c r="I32" s="190"/>
      <c r="J32" s="190"/>
      <c r="K32" s="190"/>
      <c r="L32" s="190"/>
      <c r="M32" s="191"/>
      <c r="N32" s="189"/>
      <c r="O32" s="190"/>
      <c r="P32" s="190"/>
      <c r="Q32" s="190"/>
      <c r="R32" s="190"/>
      <c r="S32" s="190"/>
      <c r="T32" s="190"/>
      <c r="U32" s="190"/>
      <c r="V32" s="190"/>
      <c r="W32" s="191"/>
      <c r="X32" s="189"/>
      <c r="Y32" s="190"/>
      <c r="Z32" s="190"/>
      <c r="AA32" s="190"/>
      <c r="AB32" s="190"/>
      <c r="AC32" s="190"/>
      <c r="AD32" s="190"/>
      <c r="AE32" s="190"/>
      <c r="AF32" s="190"/>
      <c r="AG32" s="191"/>
      <c r="AH32" s="192"/>
      <c r="AI32" s="192">
        <f t="shared" si="0"/>
        <v>0</v>
      </c>
      <c r="AJ32" s="192">
        <f t="shared" si="1"/>
        <v>0</v>
      </c>
      <c r="AK32" s="192" t="str">
        <f t="shared" si="2"/>
        <v/>
      </c>
    </row>
    <row r="33" spans="1:37" ht="20" customHeight="1" x14ac:dyDescent="0.2">
      <c r="A33" s="180">
        <v>25</v>
      </c>
      <c r="B33" s="187"/>
      <c r="C33" s="188"/>
      <c r="D33" s="189"/>
      <c r="E33" s="190"/>
      <c r="F33" s="190"/>
      <c r="G33" s="190"/>
      <c r="H33" s="190"/>
      <c r="I33" s="190"/>
      <c r="J33" s="190"/>
      <c r="K33" s="190"/>
      <c r="L33" s="190"/>
      <c r="M33" s="191"/>
      <c r="N33" s="189"/>
      <c r="O33" s="190"/>
      <c r="P33" s="190"/>
      <c r="Q33" s="190"/>
      <c r="R33" s="190"/>
      <c r="S33" s="190"/>
      <c r="T33" s="190"/>
      <c r="U33" s="190"/>
      <c r="V33" s="190"/>
      <c r="W33" s="191"/>
      <c r="X33" s="189"/>
      <c r="Y33" s="190"/>
      <c r="Z33" s="190"/>
      <c r="AA33" s="190"/>
      <c r="AB33" s="190"/>
      <c r="AC33" s="190"/>
      <c r="AD33" s="190"/>
      <c r="AE33" s="190"/>
      <c r="AF33" s="190"/>
      <c r="AG33" s="191"/>
      <c r="AH33" s="192"/>
      <c r="AI33" s="192">
        <f t="shared" si="0"/>
        <v>0</v>
      </c>
      <c r="AJ33" s="192">
        <f t="shared" si="1"/>
        <v>0</v>
      </c>
      <c r="AK33" s="192" t="str">
        <f t="shared" si="2"/>
        <v/>
      </c>
    </row>
    <row r="34" spans="1:37" ht="20" customHeight="1" thickBot="1" x14ac:dyDescent="0.25">
      <c r="A34" s="199">
        <v>26</v>
      </c>
      <c r="B34" s="200"/>
      <c r="C34" s="201"/>
      <c r="D34" s="202"/>
      <c r="E34" s="203"/>
      <c r="F34" s="203"/>
      <c r="G34" s="203"/>
      <c r="H34" s="203"/>
      <c r="I34" s="203"/>
      <c r="J34" s="203"/>
      <c r="K34" s="203"/>
      <c r="L34" s="203"/>
      <c r="M34" s="204"/>
      <c r="N34" s="202"/>
      <c r="O34" s="203"/>
      <c r="P34" s="203"/>
      <c r="Q34" s="203"/>
      <c r="R34" s="203"/>
      <c r="S34" s="203"/>
      <c r="T34" s="203"/>
      <c r="U34" s="203"/>
      <c r="V34" s="203"/>
      <c r="W34" s="204"/>
      <c r="X34" s="202"/>
      <c r="Y34" s="203"/>
      <c r="Z34" s="203"/>
      <c r="AA34" s="203"/>
      <c r="AB34" s="203"/>
      <c r="AC34" s="203"/>
      <c r="AD34" s="203"/>
      <c r="AE34" s="203"/>
      <c r="AF34" s="203"/>
      <c r="AG34" s="204"/>
      <c r="AH34" s="205"/>
      <c r="AI34" s="205">
        <f t="shared" si="0"/>
        <v>0</v>
      </c>
      <c r="AJ34" s="205">
        <f t="shared" si="1"/>
        <v>0</v>
      </c>
      <c r="AK34" s="205" t="str">
        <f t="shared" si="2"/>
        <v/>
      </c>
    </row>
    <row r="35" spans="1:37" ht="27.75" customHeight="1" thickBot="1" x14ac:dyDescent="0.3">
      <c r="B35" s="206" t="s">
        <v>394</v>
      </c>
      <c r="C35" s="207">
        <f>SUM(C9:C34)</f>
        <v>0</v>
      </c>
      <c r="D35" s="208"/>
      <c r="E35" s="209"/>
      <c r="F35" s="209"/>
      <c r="G35" s="209"/>
      <c r="H35" s="209"/>
      <c r="I35" s="209"/>
      <c r="J35" s="209"/>
      <c r="K35" s="209"/>
      <c r="L35" s="209"/>
      <c r="M35" s="210"/>
      <c r="N35" s="208"/>
      <c r="O35" s="209"/>
      <c r="P35" s="209"/>
      <c r="Q35" s="209"/>
      <c r="R35" s="209"/>
      <c r="S35" s="209"/>
      <c r="T35" s="209"/>
      <c r="U35" s="209"/>
      <c r="V35" s="209"/>
      <c r="W35" s="210"/>
      <c r="X35" s="208"/>
      <c r="Y35" s="209"/>
      <c r="Z35" s="209"/>
      <c r="AA35" s="209"/>
      <c r="AB35" s="209"/>
      <c r="AC35" s="209"/>
      <c r="AD35" s="209"/>
      <c r="AE35" s="209"/>
      <c r="AF35" s="209"/>
      <c r="AG35" s="210"/>
      <c r="AH35" s="211"/>
      <c r="AI35" s="212"/>
      <c r="AJ35" s="211">
        <f>SUM(AJ9:AJ34)</f>
        <v>-15</v>
      </c>
      <c r="AK35" s="213"/>
    </row>
    <row r="36" spans="1:37" ht="27.75" customHeight="1" thickBot="1" x14ac:dyDescent="0.25">
      <c r="B36" s="214" t="s">
        <v>395</v>
      </c>
      <c r="C36" s="211">
        <f>SUM(D35:AG35)-SUM(C9:C34)</f>
        <v>0</v>
      </c>
      <c r="D36" s="215" t="str">
        <f>IF((D35-SUM(D9:D34))=0,"",D35-SUM(D9:D34))</f>
        <v/>
      </c>
      <c r="E36" s="216" t="str">
        <f t="shared" ref="E36:AG36" si="3">IF((E35-SUM(E9:E34))=0,"",E35-SUM(E9:E34))</f>
        <v/>
      </c>
      <c r="F36" s="216" t="str">
        <f t="shared" si="3"/>
        <v/>
      </c>
      <c r="G36" s="216" t="str">
        <f t="shared" si="3"/>
        <v/>
      </c>
      <c r="H36" s="216" t="str">
        <f t="shared" si="3"/>
        <v/>
      </c>
      <c r="I36" s="216" t="str">
        <f t="shared" si="3"/>
        <v/>
      </c>
      <c r="J36" s="216" t="str">
        <f t="shared" si="3"/>
        <v/>
      </c>
      <c r="K36" s="216" t="str">
        <f t="shared" si="3"/>
        <v/>
      </c>
      <c r="L36" s="216" t="str">
        <f t="shared" si="3"/>
        <v/>
      </c>
      <c r="M36" s="217" t="str">
        <f t="shared" si="3"/>
        <v/>
      </c>
      <c r="N36" s="215" t="str">
        <f t="shared" si="3"/>
        <v/>
      </c>
      <c r="O36" s="216" t="str">
        <f t="shared" si="3"/>
        <v/>
      </c>
      <c r="P36" s="216" t="str">
        <f t="shared" si="3"/>
        <v/>
      </c>
      <c r="Q36" s="216" t="str">
        <f t="shared" si="3"/>
        <v/>
      </c>
      <c r="R36" s="216" t="str">
        <f t="shared" si="3"/>
        <v/>
      </c>
      <c r="S36" s="216" t="str">
        <f t="shared" si="3"/>
        <v/>
      </c>
      <c r="T36" s="216" t="str">
        <f t="shared" si="3"/>
        <v/>
      </c>
      <c r="U36" s="216" t="str">
        <f t="shared" si="3"/>
        <v/>
      </c>
      <c r="V36" s="216" t="str">
        <f t="shared" si="3"/>
        <v/>
      </c>
      <c r="W36" s="217" t="str">
        <f t="shared" si="3"/>
        <v/>
      </c>
      <c r="X36" s="215">
        <f t="shared" si="3"/>
        <v>-10</v>
      </c>
      <c r="Y36" s="216" t="str">
        <f t="shared" si="3"/>
        <v/>
      </c>
      <c r="Z36" s="216" t="str">
        <f t="shared" si="3"/>
        <v/>
      </c>
      <c r="AA36" s="216" t="str">
        <f t="shared" si="3"/>
        <v/>
      </c>
      <c r="AB36" s="216">
        <f t="shared" si="3"/>
        <v>-4</v>
      </c>
      <c r="AC36" s="216" t="str">
        <f t="shared" si="3"/>
        <v/>
      </c>
      <c r="AD36" s="216" t="str">
        <f t="shared" si="3"/>
        <v/>
      </c>
      <c r="AE36" s="216" t="str">
        <f t="shared" si="3"/>
        <v/>
      </c>
      <c r="AF36" s="216" t="str">
        <f t="shared" si="3"/>
        <v/>
      </c>
      <c r="AG36" s="217">
        <f t="shared" si="3"/>
        <v>-1</v>
      </c>
      <c r="AH36" s="211">
        <f>AH35-SUM(AH9:AH34)</f>
        <v>0</v>
      </c>
      <c r="AI36" s="218"/>
      <c r="AJ36" s="219"/>
      <c r="AK36" s="220"/>
    </row>
    <row r="37" spans="1:37" ht="17" thickBot="1" x14ac:dyDescent="0.25"/>
    <row r="38" spans="1:37" ht="22" thickBot="1" x14ac:dyDescent="0.25">
      <c r="I38" s="478" t="s">
        <v>14</v>
      </c>
      <c r="J38" s="479"/>
      <c r="K38" s="479"/>
      <c r="L38" s="479"/>
      <c r="M38" s="480"/>
      <c r="S38" s="481" t="s">
        <v>385</v>
      </c>
      <c r="T38" s="482"/>
      <c r="U38" s="482"/>
      <c r="V38" s="482"/>
      <c r="W38" s="483"/>
      <c r="AC38" s="484" t="s">
        <v>384</v>
      </c>
      <c r="AD38" s="485"/>
      <c r="AE38" s="485"/>
      <c r="AF38" s="485"/>
      <c r="AG38" s="486"/>
    </row>
    <row r="39" spans="1:37" ht="22" thickBot="1" x14ac:dyDescent="0.3">
      <c r="B39" s="221" t="s">
        <v>250</v>
      </c>
      <c r="C39" s="487">
        <f>SUM(D36:AG36)</f>
        <v>-15</v>
      </c>
      <c r="D39" s="463"/>
      <c r="I39" s="488" t="s">
        <v>396</v>
      </c>
      <c r="J39" s="489"/>
      <c r="K39" s="489"/>
      <c r="L39" s="489"/>
      <c r="M39" s="222">
        <f>SUM(D35:M35)</f>
        <v>0</v>
      </c>
      <c r="S39" s="490" t="s">
        <v>396</v>
      </c>
      <c r="T39" s="491"/>
      <c r="U39" s="491"/>
      <c r="V39" s="491"/>
      <c r="W39" s="222">
        <f>SUM(N35:W35)</f>
        <v>0</v>
      </c>
      <c r="AC39" s="490" t="s">
        <v>396</v>
      </c>
      <c r="AD39" s="491"/>
      <c r="AE39" s="491"/>
      <c r="AF39" s="491"/>
      <c r="AG39" s="222">
        <f>SUM(X35:AG35)</f>
        <v>0</v>
      </c>
    </row>
    <row r="40" spans="1:37" ht="22" thickBot="1" x14ac:dyDescent="0.3">
      <c r="B40" s="221" t="s">
        <v>397</v>
      </c>
      <c r="C40" s="487">
        <v>31</v>
      </c>
      <c r="D40" s="463"/>
      <c r="I40" s="488" t="s">
        <v>398</v>
      </c>
      <c r="J40" s="489"/>
      <c r="K40" s="489"/>
      <c r="L40" s="489"/>
      <c r="M40" s="222">
        <f>SUM(D9:M34)</f>
        <v>0</v>
      </c>
      <c r="S40" s="490" t="s">
        <v>396</v>
      </c>
      <c r="T40" s="491"/>
      <c r="U40" s="491"/>
      <c r="V40" s="491"/>
      <c r="W40" s="222">
        <f>SUM(N9:W34)</f>
        <v>0</v>
      </c>
      <c r="AC40" s="490" t="s">
        <v>396</v>
      </c>
      <c r="AD40" s="491"/>
      <c r="AE40" s="491"/>
      <c r="AF40" s="491"/>
      <c r="AG40" s="222">
        <f>SUM(X9:AG34)</f>
        <v>15</v>
      </c>
    </row>
    <row r="41" spans="1:37" ht="22" thickBot="1" x14ac:dyDescent="0.3">
      <c r="B41" s="221" t="s">
        <v>399</v>
      </c>
      <c r="C41" s="487">
        <f>C40-C39</f>
        <v>46</v>
      </c>
      <c r="D41" s="463"/>
      <c r="I41" s="488" t="s">
        <v>321</v>
      </c>
      <c r="J41" s="489"/>
      <c r="K41" s="489"/>
      <c r="L41" s="489"/>
      <c r="M41" s="222">
        <f>M39-M40</f>
        <v>0</v>
      </c>
      <c r="S41" s="488" t="s">
        <v>321</v>
      </c>
      <c r="T41" s="489"/>
      <c r="U41" s="489"/>
      <c r="V41" s="489"/>
      <c r="W41" s="222">
        <f>W39-W40</f>
        <v>0</v>
      </c>
      <c r="AC41" s="488" t="s">
        <v>321</v>
      </c>
      <c r="AD41" s="489"/>
      <c r="AE41" s="489"/>
      <c r="AF41" s="489"/>
      <c r="AG41" s="222">
        <f>AG39-AG40</f>
        <v>-15</v>
      </c>
    </row>
  </sheetData>
  <mergeCells count="26">
    <mergeCell ref="C41:D41"/>
    <mergeCell ref="I41:L41"/>
    <mergeCell ref="S41:V41"/>
    <mergeCell ref="AC41:AF41"/>
    <mergeCell ref="C39:D39"/>
    <mergeCell ref="I39:L39"/>
    <mergeCell ref="S39:V39"/>
    <mergeCell ref="AC39:AF39"/>
    <mergeCell ref="C40:D40"/>
    <mergeCell ref="I40:L40"/>
    <mergeCell ref="S40:V40"/>
    <mergeCell ref="AC40:AF40"/>
    <mergeCell ref="D6:AG6"/>
    <mergeCell ref="D7:M7"/>
    <mergeCell ref="N7:W7"/>
    <mergeCell ref="X7:AG7"/>
    <mergeCell ref="I38:M38"/>
    <mergeCell ref="S38:W38"/>
    <mergeCell ref="AC38:AG38"/>
    <mergeCell ref="B1:AK1"/>
    <mergeCell ref="B2:AK2"/>
    <mergeCell ref="P3:AJ3"/>
    <mergeCell ref="D4:I4"/>
    <mergeCell ref="P4:U4"/>
    <mergeCell ref="W4:AB4"/>
    <mergeCell ref="AD4:AI4"/>
  </mergeCells>
  <conditionalFormatting sqref="AJ9:AJ34">
    <cfRule type="cellIs" dxfId="2" priority="3" operator="lessThan">
      <formula>0</formula>
    </cfRule>
  </conditionalFormatting>
  <conditionalFormatting sqref="M41 W41 AG41">
    <cfRule type="cellIs" dxfId="1" priority="2" operator="greaterThan">
      <formula>0</formula>
    </cfRule>
  </conditionalFormatting>
  <conditionalFormatting sqref="C9:C34">
    <cfRule type="cellIs" dxfId="0" priority="1" operator="equal">
      <formula>0</formula>
    </cfRule>
  </conditionalFormatting>
  <printOptions horizontalCentered="1" verticalCentered="1"/>
  <pageMargins left="0.59" right="0.59" top="0.79000000000000015" bottom="0.79000000000000015" header="0.5" footer="0.5"/>
  <pageSetup scale="66" orientation="landscape" horizontalDpi="4294967292" verticalDpi="429496729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3"/>
  <dimension ref="A1:G63"/>
  <sheetViews>
    <sheetView zoomScale="130" zoomScaleNormal="130" workbookViewId="0">
      <selection sqref="A1:G1"/>
    </sheetView>
  </sheetViews>
  <sheetFormatPr baseColWidth="10" defaultColWidth="10.83203125" defaultRowHeight="16" x14ac:dyDescent="0.2"/>
  <cols>
    <col min="1" max="1" width="29.5" style="165" customWidth="1"/>
    <col min="2" max="2" width="30.83203125" style="165" customWidth="1"/>
    <col min="3" max="4" width="18.83203125" style="165" customWidth="1"/>
    <col min="5" max="5" width="10.83203125" style="165"/>
    <col min="6" max="6" width="18.83203125" style="165" customWidth="1"/>
    <col min="7" max="16384" width="10.83203125" style="165"/>
  </cols>
  <sheetData>
    <row r="1" spans="1:7" ht="32" customHeight="1" thickBot="1" x14ac:dyDescent="0.25">
      <c r="A1" s="493" t="s">
        <v>400</v>
      </c>
      <c r="B1" s="494"/>
      <c r="C1" s="494"/>
      <c r="D1" s="494"/>
      <c r="E1" s="494"/>
      <c r="F1" s="494"/>
      <c r="G1" s="495"/>
    </row>
    <row r="2" spans="1:7" ht="17" thickBot="1" x14ac:dyDescent="0.25">
      <c r="A2" s="496" t="s">
        <v>422</v>
      </c>
      <c r="B2" s="496"/>
      <c r="C2" s="223" t="s">
        <v>423</v>
      </c>
      <c r="D2" s="223" t="s">
        <v>424</v>
      </c>
      <c r="E2" s="496" t="s">
        <v>425</v>
      </c>
      <c r="F2" s="223" t="s">
        <v>426</v>
      </c>
      <c r="G2" s="496" t="s">
        <v>425</v>
      </c>
    </row>
    <row r="3" spans="1:7" ht="17" thickBot="1" x14ac:dyDescent="0.25">
      <c r="A3" s="496"/>
      <c r="B3" s="496"/>
      <c r="C3" s="223" t="s">
        <v>427</v>
      </c>
      <c r="D3" s="223" t="s">
        <v>428</v>
      </c>
      <c r="E3" s="496"/>
      <c r="F3" s="223" t="s">
        <v>428</v>
      </c>
      <c r="G3" s="496"/>
    </row>
    <row r="4" spans="1:7" ht="17" thickBot="1" x14ac:dyDescent="0.25">
      <c r="A4" s="496" t="s">
        <v>429</v>
      </c>
      <c r="B4" s="231" t="s">
        <v>402</v>
      </c>
      <c r="C4" s="232">
        <v>5</v>
      </c>
      <c r="D4" s="232">
        <v>200</v>
      </c>
      <c r="E4" s="233">
        <v>14.2</v>
      </c>
      <c r="F4" s="232">
        <v>200</v>
      </c>
      <c r="G4" s="232">
        <v>11.1</v>
      </c>
    </row>
    <row r="5" spans="1:7" ht="17" thickBot="1" x14ac:dyDescent="0.25">
      <c r="A5" s="496"/>
      <c r="B5" s="231" t="s">
        <v>368</v>
      </c>
      <c r="C5" s="232">
        <v>3</v>
      </c>
      <c r="D5" s="232">
        <v>120</v>
      </c>
      <c r="E5" s="233">
        <v>8.5</v>
      </c>
      <c r="F5" s="232">
        <v>120</v>
      </c>
      <c r="G5" s="232">
        <v>6.7</v>
      </c>
    </row>
    <row r="6" spans="1:7" ht="17" thickBot="1" x14ac:dyDescent="0.25">
      <c r="A6" s="496"/>
      <c r="B6" s="234" t="s">
        <v>362</v>
      </c>
      <c r="C6" s="235">
        <v>5</v>
      </c>
      <c r="D6" s="235">
        <v>200</v>
      </c>
      <c r="E6" s="236">
        <v>14.2</v>
      </c>
      <c r="F6" s="235">
        <v>200</v>
      </c>
      <c r="G6" s="235">
        <v>11.1</v>
      </c>
    </row>
    <row r="7" spans="1:7" ht="17" thickBot="1" x14ac:dyDescent="0.25">
      <c r="A7" s="496"/>
      <c r="B7" s="237" t="s">
        <v>430</v>
      </c>
      <c r="C7" s="238">
        <v>4</v>
      </c>
      <c r="D7" s="238">
        <v>160</v>
      </c>
      <c r="E7" s="239">
        <v>11.5</v>
      </c>
      <c r="F7" s="238">
        <v>160</v>
      </c>
      <c r="G7" s="238">
        <v>8.9</v>
      </c>
    </row>
    <row r="8" spans="1:7" ht="17" thickBot="1" x14ac:dyDescent="0.25">
      <c r="A8" s="496"/>
      <c r="B8" s="237" t="s">
        <v>366</v>
      </c>
      <c r="C8" s="238">
        <v>2</v>
      </c>
      <c r="D8" s="238">
        <v>80</v>
      </c>
      <c r="E8" s="239">
        <v>5.7</v>
      </c>
      <c r="F8" s="238">
        <v>80</v>
      </c>
      <c r="G8" s="238">
        <v>4.4000000000000004</v>
      </c>
    </row>
    <row r="9" spans="1:7" ht="17" thickBot="1" x14ac:dyDescent="0.25">
      <c r="A9" s="496"/>
      <c r="B9" s="237" t="s">
        <v>44</v>
      </c>
      <c r="C9" s="238">
        <v>4</v>
      </c>
      <c r="D9" s="238">
        <v>160</v>
      </c>
      <c r="E9" s="239">
        <v>11.5</v>
      </c>
      <c r="F9" s="238">
        <v>160</v>
      </c>
      <c r="G9" s="238">
        <v>8.9</v>
      </c>
    </row>
    <row r="10" spans="1:7" ht="17" thickBot="1" x14ac:dyDescent="0.25">
      <c r="A10" s="496"/>
      <c r="B10" s="237" t="s">
        <v>406</v>
      </c>
      <c r="C10" s="238">
        <v>2</v>
      </c>
      <c r="D10" s="238">
        <v>80</v>
      </c>
      <c r="E10" s="239">
        <v>5.7</v>
      </c>
      <c r="F10" s="238">
        <v>80</v>
      </c>
      <c r="G10" s="238">
        <v>4.4000000000000004</v>
      </c>
    </row>
    <row r="11" spans="1:7" ht="16" customHeight="1" thickBot="1" x14ac:dyDescent="0.25">
      <c r="A11" s="492" t="s">
        <v>431</v>
      </c>
      <c r="B11" s="240" t="s">
        <v>370</v>
      </c>
      <c r="C11" s="241">
        <v>3</v>
      </c>
      <c r="D11" s="241">
        <v>120</v>
      </c>
      <c r="E11" s="242">
        <v>8.5</v>
      </c>
      <c r="F11" s="241">
        <v>120</v>
      </c>
      <c r="G11" s="241">
        <v>6.6</v>
      </c>
    </row>
    <row r="12" spans="1:7" ht="18" thickBot="1" x14ac:dyDescent="0.25">
      <c r="A12" s="492"/>
      <c r="B12" s="243" t="s">
        <v>432</v>
      </c>
      <c r="C12" s="244">
        <v>1</v>
      </c>
      <c r="D12" s="244">
        <v>40</v>
      </c>
      <c r="E12" s="245">
        <f t="shared" ref="E12" si="0">D12/$D$19*100</f>
        <v>2.8571428571428572</v>
      </c>
      <c r="F12" s="244">
        <v>40</v>
      </c>
      <c r="G12" s="244">
        <v>2.2000000000000002</v>
      </c>
    </row>
    <row r="13" spans="1:7" ht="17" thickBot="1" x14ac:dyDescent="0.25">
      <c r="A13" s="492"/>
      <c r="B13" s="246" t="s">
        <v>408</v>
      </c>
      <c r="C13" s="247">
        <v>2</v>
      </c>
      <c r="D13" s="247">
        <v>80</v>
      </c>
      <c r="E13" s="248">
        <v>5.8</v>
      </c>
      <c r="F13" s="247">
        <v>80</v>
      </c>
      <c r="G13" s="247">
        <v>4.4000000000000004</v>
      </c>
    </row>
    <row r="14" spans="1:7" ht="17" thickBot="1" x14ac:dyDescent="0.25">
      <c r="A14" s="496" t="s">
        <v>409</v>
      </c>
      <c r="B14" s="249" t="s">
        <v>433</v>
      </c>
      <c r="C14" s="447" t="s">
        <v>434</v>
      </c>
      <c r="D14" s="447">
        <v>160</v>
      </c>
      <c r="E14" s="447">
        <v>11.4</v>
      </c>
      <c r="F14" s="447">
        <v>560</v>
      </c>
      <c r="G14" s="447">
        <v>31.1</v>
      </c>
    </row>
    <row r="15" spans="1:7" ht="17" thickBot="1" x14ac:dyDescent="0.25">
      <c r="A15" s="496"/>
      <c r="B15" s="249" t="s">
        <v>435</v>
      </c>
      <c r="C15" s="447"/>
      <c r="D15" s="447"/>
      <c r="E15" s="447"/>
      <c r="F15" s="447"/>
      <c r="G15" s="447"/>
    </row>
    <row r="16" spans="1:7" ht="17" thickBot="1" x14ac:dyDescent="0.25">
      <c r="A16" s="496"/>
      <c r="B16" s="249" t="s">
        <v>436</v>
      </c>
      <c r="C16" s="447"/>
      <c r="D16" s="447"/>
      <c r="E16" s="447"/>
      <c r="F16" s="447"/>
      <c r="G16" s="447"/>
    </row>
    <row r="17" spans="1:7" ht="17" thickBot="1" x14ac:dyDescent="0.25">
      <c r="A17" s="496"/>
      <c r="B17" s="249" t="s">
        <v>437</v>
      </c>
      <c r="C17" s="447"/>
      <c r="D17" s="447"/>
      <c r="E17" s="447"/>
      <c r="F17" s="447"/>
      <c r="G17" s="447"/>
    </row>
    <row r="18" spans="1:7" ht="17" thickBot="1" x14ac:dyDescent="0.25">
      <c r="A18" s="496"/>
      <c r="B18" s="249" t="s">
        <v>438</v>
      </c>
      <c r="C18" s="447"/>
      <c r="D18" s="447"/>
      <c r="E18" s="447"/>
      <c r="F18" s="447"/>
      <c r="G18" s="447"/>
    </row>
    <row r="19" spans="1:7" ht="17" thickBot="1" x14ac:dyDescent="0.25">
      <c r="A19" s="497" t="s">
        <v>18</v>
      </c>
      <c r="B19" s="497"/>
      <c r="C19" s="250"/>
      <c r="D19" s="251">
        <f>SUM(D4:D18)</f>
        <v>1400</v>
      </c>
      <c r="E19" s="252">
        <v>100</v>
      </c>
      <c r="F19" s="251">
        <v>1800</v>
      </c>
      <c r="G19" s="251">
        <v>100</v>
      </c>
    </row>
    <row r="24" spans="1:7" ht="32" customHeight="1" thickBot="1" x14ac:dyDescent="0.25">
      <c r="A24" s="493" t="s">
        <v>25</v>
      </c>
      <c r="B24" s="494"/>
      <c r="C24" s="494"/>
      <c r="D24" s="494"/>
      <c r="E24" s="494"/>
      <c r="F24" s="494"/>
      <c r="G24" s="495"/>
    </row>
    <row r="25" spans="1:7" ht="17" thickBot="1" x14ac:dyDescent="0.25">
      <c r="A25" s="496" t="s">
        <v>422</v>
      </c>
      <c r="B25" s="496"/>
      <c r="C25" s="223" t="s">
        <v>423</v>
      </c>
      <c r="D25" s="223" t="s">
        <v>424</v>
      </c>
      <c r="E25" s="496" t="s">
        <v>425</v>
      </c>
      <c r="F25" s="223" t="s">
        <v>426</v>
      </c>
      <c r="G25" s="496" t="s">
        <v>425</v>
      </c>
    </row>
    <row r="26" spans="1:7" ht="17" thickBot="1" x14ac:dyDescent="0.25">
      <c r="A26" s="496"/>
      <c r="B26" s="496"/>
      <c r="C26" s="223" t="s">
        <v>427</v>
      </c>
      <c r="D26" s="223" t="s">
        <v>428</v>
      </c>
      <c r="E26" s="496"/>
      <c r="F26" s="223" t="s">
        <v>428</v>
      </c>
      <c r="G26" s="496"/>
    </row>
    <row r="27" spans="1:7" ht="17" thickBot="1" x14ac:dyDescent="0.25">
      <c r="A27" s="496" t="s">
        <v>429</v>
      </c>
      <c r="B27" s="231" t="s">
        <v>402</v>
      </c>
      <c r="C27" s="232">
        <v>5</v>
      </c>
      <c r="D27" s="232">
        <v>200</v>
      </c>
      <c r="E27" s="233">
        <v>14.2</v>
      </c>
      <c r="F27" s="232">
        <v>200</v>
      </c>
      <c r="G27" s="232">
        <v>11.1</v>
      </c>
    </row>
    <row r="28" spans="1:7" ht="17" thickBot="1" x14ac:dyDescent="0.25">
      <c r="A28" s="496"/>
      <c r="B28" s="231" t="s">
        <v>368</v>
      </c>
      <c r="C28" s="232">
        <v>3</v>
      </c>
      <c r="D28" s="232">
        <v>120</v>
      </c>
      <c r="E28" s="233">
        <v>8.5</v>
      </c>
      <c r="F28" s="232">
        <v>120</v>
      </c>
      <c r="G28" s="232">
        <v>6.7</v>
      </c>
    </row>
    <row r="29" spans="1:7" ht="17" thickBot="1" x14ac:dyDescent="0.25">
      <c r="A29" s="496"/>
      <c r="B29" s="234" t="s">
        <v>362</v>
      </c>
      <c r="C29" s="235">
        <v>5</v>
      </c>
      <c r="D29" s="235">
        <v>200</v>
      </c>
      <c r="E29" s="236">
        <v>14.2</v>
      </c>
      <c r="F29" s="235">
        <v>200</v>
      </c>
      <c r="G29" s="235">
        <v>11.1</v>
      </c>
    </row>
    <row r="30" spans="1:7" ht="17" thickBot="1" x14ac:dyDescent="0.25">
      <c r="A30" s="496"/>
      <c r="B30" s="237" t="s">
        <v>430</v>
      </c>
      <c r="C30" s="238">
        <v>6</v>
      </c>
      <c r="D30" s="238">
        <v>240</v>
      </c>
      <c r="E30" s="239">
        <v>17.100000000000001</v>
      </c>
      <c r="F30" s="238">
        <v>240</v>
      </c>
      <c r="G30" s="238">
        <v>13.3</v>
      </c>
    </row>
    <row r="31" spans="1:7" ht="17" thickBot="1" x14ac:dyDescent="0.25">
      <c r="A31" s="496"/>
      <c r="B31" s="237" t="s">
        <v>366</v>
      </c>
      <c r="C31" s="238">
        <v>4</v>
      </c>
      <c r="D31" s="238">
        <v>160</v>
      </c>
      <c r="E31" s="239">
        <v>11.5</v>
      </c>
      <c r="F31" s="238">
        <v>160</v>
      </c>
      <c r="G31" s="238">
        <v>8.9</v>
      </c>
    </row>
    <row r="32" spans="1:7" ht="17" thickBot="1" x14ac:dyDescent="0.25">
      <c r="A32" s="496"/>
      <c r="B32" s="237" t="s">
        <v>406</v>
      </c>
      <c r="C32" s="238">
        <v>2</v>
      </c>
      <c r="D32" s="238">
        <v>80</v>
      </c>
      <c r="E32" s="239">
        <v>5.7</v>
      </c>
      <c r="F32" s="238">
        <v>80</v>
      </c>
      <c r="G32" s="238">
        <v>4.4000000000000004</v>
      </c>
    </row>
    <row r="33" spans="1:7" ht="16" customHeight="1" thickBot="1" x14ac:dyDescent="0.25">
      <c r="A33" s="492" t="s">
        <v>431</v>
      </c>
      <c r="B33" s="240" t="s">
        <v>370</v>
      </c>
      <c r="C33" s="241">
        <v>3</v>
      </c>
      <c r="D33" s="241">
        <v>120</v>
      </c>
      <c r="E33" s="242">
        <v>8.5</v>
      </c>
      <c r="F33" s="241">
        <v>120</v>
      </c>
      <c r="G33" s="241">
        <v>6.7</v>
      </c>
    </row>
    <row r="34" spans="1:7" ht="18" thickBot="1" x14ac:dyDescent="0.25">
      <c r="A34" s="492"/>
      <c r="B34" s="243" t="s">
        <v>432</v>
      </c>
      <c r="C34" s="244">
        <v>1</v>
      </c>
      <c r="D34" s="244">
        <v>40</v>
      </c>
      <c r="E34" s="245">
        <f t="shared" ref="E34" si="1">D34/$D$19*100</f>
        <v>2.8571428571428572</v>
      </c>
      <c r="F34" s="244">
        <v>40</v>
      </c>
      <c r="G34" s="244">
        <v>2.2000000000000002</v>
      </c>
    </row>
    <row r="35" spans="1:7" ht="17" thickBot="1" x14ac:dyDescent="0.25">
      <c r="A35" s="492"/>
      <c r="B35" s="246" t="s">
        <v>408</v>
      </c>
      <c r="C35" s="247">
        <v>2</v>
      </c>
      <c r="D35" s="247">
        <v>80</v>
      </c>
      <c r="E35" s="248">
        <v>5.8</v>
      </c>
      <c r="F35" s="247">
        <v>80</v>
      </c>
      <c r="G35" s="247">
        <v>4.4000000000000004</v>
      </c>
    </row>
    <row r="36" spans="1:7" ht="17" thickBot="1" x14ac:dyDescent="0.25">
      <c r="A36" s="496" t="s">
        <v>409</v>
      </c>
      <c r="B36" s="249" t="s">
        <v>433</v>
      </c>
      <c r="C36" s="447" t="s">
        <v>434</v>
      </c>
      <c r="D36" s="447">
        <v>160</v>
      </c>
      <c r="E36" s="447">
        <v>11.4</v>
      </c>
      <c r="F36" s="447">
        <v>560</v>
      </c>
      <c r="G36" s="447">
        <v>31.1</v>
      </c>
    </row>
    <row r="37" spans="1:7" ht="17" thickBot="1" x14ac:dyDescent="0.25">
      <c r="A37" s="496"/>
      <c r="B37" s="249" t="s">
        <v>435</v>
      </c>
      <c r="C37" s="447"/>
      <c r="D37" s="447"/>
      <c r="E37" s="447"/>
      <c r="F37" s="447"/>
      <c r="G37" s="447"/>
    </row>
    <row r="38" spans="1:7" ht="17" thickBot="1" x14ac:dyDescent="0.25">
      <c r="A38" s="496"/>
      <c r="B38" s="249" t="s">
        <v>436</v>
      </c>
      <c r="C38" s="447"/>
      <c r="D38" s="447"/>
      <c r="E38" s="447"/>
      <c r="F38" s="447"/>
      <c r="G38" s="447"/>
    </row>
    <row r="39" spans="1:7" ht="17" thickBot="1" x14ac:dyDescent="0.25">
      <c r="A39" s="496"/>
      <c r="B39" s="249" t="s">
        <v>437</v>
      </c>
      <c r="C39" s="447"/>
      <c r="D39" s="447"/>
      <c r="E39" s="447"/>
      <c r="F39" s="447"/>
      <c r="G39" s="447"/>
    </row>
    <row r="40" spans="1:7" ht="17" thickBot="1" x14ac:dyDescent="0.25">
      <c r="A40" s="496"/>
      <c r="B40" s="249" t="s">
        <v>438</v>
      </c>
      <c r="C40" s="447"/>
      <c r="D40" s="447"/>
      <c r="E40" s="447"/>
      <c r="F40" s="447"/>
      <c r="G40" s="447"/>
    </row>
    <row r="41" spans="1:7" ht="17" thickBot="1" x14ac:dyDescent="0.25">
      <c r="A41" s="497" t="s">
        <v>18</v>
      </c>
      <c r="B41" s="497"/>
      <c r="C41" s="250"/>
      <c r="D41" s="251">
        <f>SUM(D27:D40)</f>
        <v>1400</v>
      </c>
      <c r="E41" s="252">
        <v>100</v>
      </c>
      <c r="F41" s="251">
        <v>1800</v>
      </c>
      <c r="G41" s="251">
        <v>100</v>
      </c>
    </row>
    <row r="46" spans="1:7" ht="32" customHeight="1" thickBot="1" x14ac:dyDescent="0.25">
      <c r="A46" s="493" t="s">
        <v>34</v>
      </c>
      <c r="B46" s="494"/>
      <c r="C46" s="494"/>
      <c r="D46" s="494"/>
      <c r="E46" s="494"/>
      <c r="F46" s="494"/>
      <c r="G46" s="495"/>
    </row>
    <row r="47" spans="1:7" ht="17" thickBot="1" x14ac:dyDescent="0.25">
      <c r="A47" s="496" t="s">
        <v>422</v>
      </c>
      <c r="B47" s="496"/>
      <c r="C47" s="223" t="s">
        <v>423</v>
      </c>
      <c r="D47" s="223" t="s">
        <v>424</v>
      </c>
      <c r="E47" s="496" t="s">
        <v>425</v>
      </c>
      <c r="F47" s="223" t="s">
        <v>426</v>
      </c>
      <c r="G47" s="496" t="s">
        <v>425</v>
      </c>
    </row>
    <row r="48" spans="1:7" ht="17" thickBot="1" x14ac:dyDescent="0.25">
      <c r="A48" s="496"/>
      <c r="B48" s="496"/>
      <c r="C48" s="223" t="s">
        <v>427</v>
      </c>
      <c r="D48" s="223" t="s">
        <v>428</v>
      </c>
      <c r="E48" s="496"/>
      <c r="F48" s="223" t="s">
        <v>428</v>
      </c>
      <c r="G48" s="496"/>
    </row>
    <row r="49" spans="1:7" ht="17" thickBot="1" x14ac:dyDescent="0.25">
      <c r="A49" s="496" t="s">
        <v>429</v>
      </c>
      <c r="B49" s="231" t="s">
        <v>402</v>
      </c>
      <c r="C49" s="232">
        <v>5</v>
      </c>
      <c r="D49" s="232">
        <v>200</v>
      </c>
      <c r="E49" s="233">
        <v>14.2</v>
      </c>
      <c r="F49" s="232">
        <v>200</v>
      </c>
      <c r="G49" s="232">
        <v>11.1</v>
      </c>
    </row>
    <row r="50" spans="1:7" ht="17" thickBot="1" x14ac:dyDescent="0.25">
      <c r="A50" s="496"/>
      <c r="B50" s="231" t="s">
        <v>368</v>
      </c>
      <c r="C50" s="232">
        <v>3</v>
      </c>
      <c r="D50" s="232">
        <v>120</v>
      </c>
      <c r="E50" s="233">
        <v>8.5</v>
      </c>
      <c r="F50" s="232">
        <v>120</v>
      </c>
      <c r="G50" s="232">
        <v>6.7</v>
      </c>
    </row>
    <row r="51" spans="1:7" ht="17" thickBot="1" x14ac:dyDescent="0.25">
      <c r="A51" s="496"/>
      <c r="B51" s="234" t="s">
        <v>362</v>
      </c>
      <c r="C51" s="235">
        <v>5</v>
      </c>
      <c r="D51" s="235">
        <v>200</v>
      </c>
      <c r="E51" s="236">
        <v>14.2</v>
      </c>
      <c r="F51" s="235">
        <v>200</v>
      </c>
      <c r="G51" s="235">
        <v>11.1</v>
      </c>
    </row>
    <row r="52" spans="1:7" ht="17" thickBot="1" x14ac:dyDescent="0.25">
      <c r="A52" s="496"/>
      <c r="B52" s="237" t="s">
        <v>430</v>
      </c>
      <c r="C52" s="238">
        <v>6</v>
      </c>
      <c r="D52" s="238">
        <v>240</v>
      </c>
      <c r="E52" s="239">
        <v>17.100000000000001</v>
      </c>
      <c r="F52" s="238">
        <v>240</v>
      </c>
      <c r="G52" s="238">
        <v>13.3</v>
      </c>
    </row>
    <row r="53" spans="1:7" ht="17" thickBot="1" x14ac:dyDescent="0.25">
      <c r="A53" s="496"/>
      <c r="B53" s="237" t="s">
        <v>366</v>
      </c>
      <c r="C53" s="238">
        <v>4</v>
      </c>
      <c r="D53" s="238">
        <v>160</v>
      </c>
      <c r="E53" s="239">
        <v>11.5</v>
      </c>
      <c r="F53" s="238">
        <v>160</v>
      </c>
      <c r="G53" s="238">
        <v>8.9</v>
      </c>
    </row>
    <row r="54" spans="1:7" ht="17" thickBot="1" x14ac:dyDescent="0.25">
      <c r="A54" s="496"/>
      <c r="B54" s="237" t="s">
        <v>406</v>
      </c>
      <c r="C54" s="238">
        <v>2</v>
      </c>
      <c r="D54" s="238">
        <v>80</v>
      </c>
      <c r="E54" s="239">
        <v>5.8</v>
      </c>
      <c r="F54" s="238">
        <v>80</v>
      </c>
      <c r="G54" s="238">
        <v>4.4000000000000004</v>
      </c>
    </row>
    <row r="55" spans="1:7" ht="16" customHeight="1" thickBot="1" x14ac:dyDescent="0.25">
      <c r="A55" s="492" t="s">
        <v>431</v>
      </c>
      <c r="B55" s="240" t="s">
        <v>370</v>
      </c>
      <c r="C55" s="241">
        <v>3</v>
      </c>
      <c r="D55" s="241">
        <v>120</v>
      </c>
      <c r="E55" s="242">
        <v>8.5</v>
      </c>
      <c r="F55" s="241">
        <v>120</v>
      </c>
      <c r="G55" s="241">
        <v>6.7</v>
      </c>
    </row>
    <row r="56" spans="1:7" ht="18" thickBot="1" x14ac:dyDescent="0.25">
      <c r="A56" s="492"/>
      <c r="B56" s="243" t="s">
        <v>432</v>
      </c>
      <c r="C56" s="244">
        <v>1</v>
      </c>
      <c r="D56" s="244">
        <v>40</v>
      </c>
      <c r="E56" s="245">
        <f t="shared" ref="E56" si="2">D56/$D$19*100</f>
        <v>2.8571428571428572</v>
      </c>
      <c r="F56" s="244">
        <v>40</v>
      </c>
      <c r="G56" s="244">
        <v>2.2000000000000002</v>
      </c>
    </row>
    <row r="57" spans="1:7" ht="17" thickBot="1" x14ac:dyDescent="0.25">
      <c r="A57" s="492"/>
      <c r="B57" s="246" t="s">
        <v>408</v>
      </c>
      <c r="C57" s="247">
        <v>2</v>
      </c>
      <c r="D57" s="247">
        <v>80</v>
      </c>
      <c r="E57" s="248">
        <v>5.8</v>
      </c>
      <c r="F57" s="247">
        <v>80</v>
      </c>
      <c r="G57" s="247">
        <v>4.4000000000000004</v>
      </c>
    </row>
    <row r="58" spans="1:7" ht="17" thickBot="1" x14ac:dyDescent="0.25">
      <c r="A58" s="496" t="s">
        <v>409</v>
      </c>
      <c r="B58" s="249" t="s">
        <v>433</v>
      </c>
      <c r="C58" s="447" t="s">
        <v>434</v>
      </c>
      <c r="D58" s="447">
        <v>160</v>
      </c>
      <c r="E58" s="447">
        <v>11.4</v>
      </c>
      <c r="F58" s="447">
        <v>560</v>
      </c>
      <c r="G58" s="447">
        <v>31.1</v>
      </c>
    </row>
    <row r="59" spans="1:7" ht="17" thickBot="1" x14ac:dyDescent="0.25">
      <c r="A59" s="496"/>
      <c r="B59" s="249" t="s">
        <v>435</v>
      </c>
      <c r="C59" s="447"/>
      <c r="D59" s="447"/>
      <c r="E59" s="447"/>
      <c r="F59" s="447"/>
      <c r="G59" s="447"/>
    </row>
    <row r="60" spans="1:7" ht="17" thickBot="1" x14ac:dyDescent="0.25">
      <c r="A60" s="496"/>
      <c r="B60" s="249" t="s">
        <v>436</v>
      </c>
      <c r="C60" s="447"/>
      <c r="D60" s="447"/>
      <c r="E60" s="447"/>
      <c r="F60" s="447"/>
      <c r="G60" s="447"/>
    </row>
    <row r="61" spans="1:7" ht="17" thickBot="1" x14ac:dyDescent="0.25">
      <c r="A61" s="496"/>
      <c r="B61" s="249" t="s">
        <v>437</v>
      </c>
      <c r="C61" s="447"/>
      <c r="D61" s="447"/>
      <c r="E61" s="447"/>
      <c r="F61" s="447"/>
      <c r="G61" s="447"/>
    </row>
    <row r="62" spans="1:7" ht="17" thickBot="1" x14ac:dyDescent="0.25">
      <c r="A62" s="496"/>
      <c r="B62" s="249" t="s">
        <v>438</v>
      </c>
      <c r="C62" s="447"/>
      <c r="D62" s="447"/>
      <c r="E62" s="447"/>
      <c r="F62" s="447"/>
      <c r="G62" s="447"/>
    </row>
    <row r="63" spans="1:7" ht="17" thickBot="1" x14ac:dyDescent="0.25">
      <c r="A63" s="497" t="s">
        <v>18</v>
      </c>
      <c r="B63" s="497"/>
      <c r="C63" s="250"/>
      <c r="D63" s="251">
        <f>SUM(D49:D62)</f>
        <v>1400</v>
      </c>
      <c r="E63" s="252">
        <v>100</v>
      </c>
      <c r="F63" s="251">
        <v>1800</v>
      </c>
      <c r="G63" s="251">
        <v>100</v>
      </c>
    </row>
  </sheetData>
  <mergeCells count="39">
    <mergeCell ref="F58:F62"/>
    <mergeCell ref="G58:G62"/>
    <mergeCell ref="A63:B63"/>
    <mergeCell ref="A49:A54"/>
    <mergeCell ref="A55:A57"/>
    <mergeCell ref="A58:A62"/>
    <mergeCell ref="C58:C62"/>
    <mergeCell ref="D58:D62"/>
    <mergeCell ref="E58:E62"/>
    <mergeCell ref="G36:G40"/>
    <mergeCell ref="A41:B41"/>
    <mergeCell ref="A46:G46"/>
    <mergeCell ref="A47:B48"/>
    <mergeCell ref="E47:E48"/>
    <mergeCell ref="G47:G48"/>
    <mergeCell ref="F36:F40"/>
    <mergeCell ref="A33:A35"/>
    <mergeCell ref="A36:A40"/>
    <mergeCell ref="C36:C40"/>
    <mergeCell ref="D36:D40"/>
    <mergeCell ref="E36:E40"/>
    <mergeCell ref="A27:A32"/>
    <mergeCell ref="A14:A18"/>
    <mergeCell ref="C14:C18"/>
    <mergeCell ref="D14:D18"/>
    <mergeCell ref="E14:E18"/>
    <mergeCell ref="A19:B19"/>
    <mergeCell ref="A24:G24"/>
    <mergeCell ref="A25:B26"/>
    <mergeCell ref="E25:E26"/>
    <mergeCell ref="G25:G26"/>
    <mergeCell ref="F14:F18"/>
    <mergeCell ref="G14:G18"/>
    <mergeCell ref="A11:A13"/>
    <mergeCell ref="A1:G1"/>
    <mergeCell ref="A2:B3"/>
    <mergeCell ref="E2:E3"/>
    <mergeCell ref="G2:G3"/>
    <mergeCell ref="A4:A10"/>
  </mergeCells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>
    <pageSetUpPr fitToPage="1"/>
  </sheetPr>
  <dimension ref="A1:I87"/>
  <sheetViews>
    <sheetView zoomScale="120" zoomScaleNormal="120" zoomScalePageLayoutView="120" workbookViewId="0">
      <selection activeCell="B3" sqref="B3"/>
    </sheetView>
  </sheetViews>
  <sheetFormatPr baseColWidth="10" defaultRowHeight="15" x14ac:dyDescent="0.2"/>
  <cols>
    <col min="1" max="1" width="15.6640625" customWidth="1"/>
    <col min="2" max="6" width="27.6640625" customWidth="1"/>
  </cols>
  <sheetData>
    <row r="1" spans="1:9" ht="16" thickBot="1" x14ac:dyDescent="0.25">
      <c r="A1" s="501" t="s">
        <v>206</v>
      </c>
      <c r="B1" s="501"/>
      <c r="C1" s="501"/>
      <c r="D1" s="501"/>
      <c r="E1" s="501"/>
      <c r="F1" s="501"/>
      <c r="H1" t="s">
        <v>97</v>
      </c>
      <c r="I1" t="s">
        <v>291</v>
      </c>
    </row>
    <row r="2" spans="1:9" ht="20" customHeight="1" x14ac:dyDescent="0.2">
      <c r="A2" s="69" t="s">
        <v>205</v>
      </c>
      <c r="B2" s="72" t="s">
        <v>204</v>
      </c>
      <c r="C2" s="73" t="s">
        <v>203</v>
      </c>
      <c r="D2" s="73" t="s">
        <v>202</v>
      </c>
      <c r="E2" s="73" t="s">
        <v>201</v>
      </c>
      <c r="F2" s="74" t="s">
        <v>200</v>
      </c>
    </row>
    <row r="3" spans="1:9" ht="20" customHeight="1" x14ac:dyDescent="0.2">
      <c r="A3" s="70" t="s">
        <v>199</v>
      </c>
      <c r="B3" s="82" t="str">
        <f>HorarioGeneral!D4</f>
        <v>Tecnología - MACEDONIO</v>
      </c>
      <c r="C3" s="83" t="str">
        <f>HorarioGeneral!D12</f>
        <v>Matemáticas I - MELISSA</v>
      </c>
      <c r="D3" s="83" t="str">
        <f>HorarioGeneral!D20</f>
        <v>Español I - RAUL</v>
      </c>
      <c r="E3" s="83" t="str">
        <f>HorarioGeneral!D28</f>
        <v>Inglés I - GUSTAVO</v>
      </c>
      <c r="F3" s="84" t="str">
        <f>HorarioGeneral!D36</f>
        <v>Ciencias I - MACEDONIO</v>
      </c>
    </row>
    <row r="4" spans="1:9" ht="20" customHeight="1" x14ac:dyDescent="0.2">
      <c r="A4" s="70" t="s">
        <v>198</v>
      </c>
      <c r="B4" s="82" t="str">
        <f>HorarioGeneral!D5</f>
        <v>Español I - RAUL</v>
      </c>
      <c r="C4" s="83" t="str">
        <f>HorarioGeneral!D13</f>
        <v>Matemáticas I - MELISSA</v>
      </c>
      <c r="D4" s="83" t="str">
        <f>HorarioGeneral!D21</f>
        <v>A. Curricular - MACEDONIO</v>
      </c>
      <c r="E4" s="83" t="str">
        <f>HorarioGeneral!D29</f>
        <v>Español I - RAUL</v>
      </c>
      <c r="F4" s="84" t="str">
        <f>HorarioGeneral!D37</f>
        <v>Español I - RAUL</v>
      </c>
    </row>
    <row r="5" spans="1:9" ht="20" customHeight="1" x14ac:dyDescent="0.2">
      <c r="A5" s="70" t="s">
        <v>197</v>
      </c>
      <c r="B5" s="498" t="s">
        <v>196</v>
      </c>
      <c r="C5" s="499"/>
      <c r="D5" s="499"/>
      <c r="E5" s="499"/>
      <c r="F5" s="500"/>
    </row>
    <row r="6" spans="1:9" ht="20" customHeight="1" x14ac:dyDescent="0.2">
      <c r="A6" s="70" t="s">
        <v>195</v>
      </c>
      <c r="B6" s="82" t="str">
        <f>HorarioGeneral!D6</f>
        <v>Ciencias I - MACEDONIO</v>
      </c>
      <c r="C6" s="83" t="str">
        <f>HorarioGeneral!D14</f>
        <v>Español I - RAUL</v>
      </c>
      <c r="D6" s="83" t="str">
        <f>HorarioGeneral!D22</f>
        <v>Tutoría - RAUL</v>
      </c>
      <c r="E6" s="83" t="str">
        <f>HorarioGeneral!D30</f>
        <v>Artes I - GUSTAVO</v>
      </c>
      <c r="F6" s="84" t="str">
        <f>HorarioGeneral!D38</f>
        <v>Educ. Física I - MACEDONIO</v>
      </c>
    </row>
    <row r="7" spans="1:9" ht="20" customHeight="1" x14ac:dyDescent="0.2">
      <c r="A7" s="70" t="s">
        <v>194</v>
      </c>
      <c r="B7" s="82" t="str">
        <f>HorarioGeneral!D7</f>
        <v>Historia I - PATRICIA</v>
      </c>
      <c r="C7" s="83" t="str">
        <f>HorarioGeneral!D15</f>
        <v>Geografía - PATRICIA</v>
      </c>
      <c r="D7" s="83" t="str">
        <f>HorarioGeneral!D23</f>
        <v>Inglés I - GUSTAVO</v>
      </c>
      <c r="E7" s="83" t="str">
        <f>HorarioGeneral!D31</f>
        <v>Artes I - GUSTAVO</v>
      </c>
      <c r="F7" s="84" t="str">
        <f>HorarioGeneral!D39</f>
        <v>Matemáticas I - MELISSA</v>
      </c>
    </row>
    <row r="8" spans="1:9" ht="20" customHeight="1" x14ac:dyDescent="0.2">
      <c r="A8" s="70" t="s">
        <v>193</v>
      </c>
      <c r="B8" s="82" t="str">
        <f>HorarioGeneral!D8</f>
        <v>Educ. Física I - MACEDONIO</v>
      </c>
      <c r="C8" s="83" t="str">
        <f>HorarioGeneral!D16</f>
        <v>Geografía - PATRICIA</v>
      </c>
      <c r="D8" s="83" t="str">
        <f>HorarioGeneral!D24</f>
        <v>Ciencias I - MACEDONIO</v>
      </c>
      <c r="E8" s="83" t="str">
        <f>HorarioGeneral!D32</f>
        <v>F.C.E. I - MELISSA</v>
      </c>
      <c r="F8" s="84" t="str">
        <f>HorarioGeneral!D40</f>
        <v>Matemáticas I - MELISSA</v>
      </c>
    </row>
    <row r="9" spans="1:9" ht="20" customHeight="1" x14ac:dyDescent="0.2">
      <c r="A9" s="70" t="s">
        <v>192</v>
      </c>
      <c r="B9" s="498" t="s">
        <v>191</v>
      </c>
      <c r="C9" s="499"/>
      <c r="D9" s="499"/>
      <c r="E9" s="499"/>
      <c r="F9" s="500"/>
    </row>
    <row r="10" spans="1:9" ht="20" customHeight="1" x14ac:dyDescent="0.2">
      <c r="A10" s="70" t="s">
        <v>190</v>
      </c>
      <c r="B10" s="82" t="str">
        <f>HorarioGeneral!D9</f>
        <v>Inglés I - GUSTAVO</v>
      </c>
      <c r="C10" s="83" t="str">
        <f>HorarioGeneral!D17</f>
        <v>F.C.E. I - MELISSA</v>
      </c>
      <c r="D10" s="83" t="str">
        <f>HorarioGeneral!D25</f>
        <v>Ciencias I - MACEDONIO</v>
      </c>
      <c r="E10" s="83" t="str">
        <f>HorarioGeneral!D33</f>
        <v>Historia I - PATRICIA</v>
      </c>
      <c r="F10" s="84" t="str">
        <f>HorarioGeneral!D41</f>
        <v>Tecnología - MACEDONIO</v>
      </c>
    </row>
    <row r="11" spans="1:9" ht="20" customHeight="1" x14ac:dyDescent="0.2">
      <c r="A11" s="70" t="s">
        <v>189</v>
      </c>
      <c r="B11" s="82" t="str">
        <f>HorarioGeneral!D10</f>
        <v>Geografía - PATRICIA</v>
      </c>
      <c r="C11" s="83" t="str">
        <f>HorarioGeneral!D18</f>
        <v>Tecnología - MACEDONIO</v>
      </c>
      <c r="D11" s="83" t="str">
        <f>HorarioGeneral!D26</f>
        <v>Artes I - GUSTAVO</v>
      </c>
      <c r="E11" s="83" t="str">
        <f>HorarioGeneral!D34</f>
        <v>Tecnología - MACEDONIO</v>
      </c>
      <c r="F11" s="84" t="str">
        <f>HorarioGeneral!D42</f>
        <v>Tecnología - MACEDONIO</v>
      </c>
    </row>
    <row r="12" spans="1:9" ht="20" customHeight="1" thickBot="1" x14ac:dyDescent="0.25">
      <c r="A12" s="92" t="s">
        <v>244</v>
      </c>
      <c r="B12" s="93" t="str">
        <f>HorarioGeneral!D11</f>
        <v>Geografía - PATRICIA</v>
      </c>
      <c r="C12" s="94" t="str">
        <f>HorarioGeneral!D19</f>
        <v>Tecnología - MACEDONIO</v>
      </c>
      <c r="D12" s="94" t="str">
        <f>HorarioGeneral!D27</f>
        <v>Matemáticas I - MELISSA</v>
      </c>
      <c r="E12" s="94" t="str">
        <f>HorarioGeneral!D35</f>
        <v>Tecnología - MACEDONIO</v>
      </c>
      <c r="F12" s="95" t="str">
        <f>HorarioGeneral!D43</f>
        <v>Tecnología - MACEDONIO</v>
      </c>
    </row>
    <row r="16" spans="1:9" ht="16" thickBot="1" x14ac:dyDescent="0.25">
      <c r="A16" s="501" t="s">
        <v>208</v>
      </c>
      <c r="B16" s="501"/>
      <c r="C16" s="501"/>
      <c r="D16" s="501"/>
      <c r="E16" s="501"/>
      <c r="F16" s="501"/>
    </row>
    <row r="17" spans="1:6" ht="20" customHeight="1" x14ac:dyDescent="0.2">
      <c r="A17" s="69" t="s">
        <v>205</v>
      </c>
      <c r="B17" s="72" t="s">
        <v>204</v>
      </c>
      <c r="C17" s="73" t="s">
        <v>203</v>
      </c>
      <c r="D17" s="73" t="s">
        <v>202</v>
      </c>
      <c r="E17" s="73" t="s">
        <v>201</v>
      </c>
      <c r="F17" s="74" t="s">
        <v>200</v>
      </c>
    </row>
    <row r="18" spans="1:6" ht="20" customHeight="1" x14ac:dyDescent="0.2">
      <c r="A18" s="70" t="s">
        <v>199</v>
      </c>
      <c r="B18" s="82">
        <f>HorarioGeneral!E4</f>
        <v>0</v>
      </c>
      <c r="C18" s="83">
        <f>HorarioGeneral!E12</f>
        <v>0</v>
      </c>
      <c r="D18" s="83">
        <f>HorarioGeneral!E20</f>
        <v>0</v>
      </c>
      <c r="E18" s="83">
        <f>HorarioGeneral!E28</f>
        <v>0</v>
      </c>
      <c r="F18" s="84">
        <f>HorarioGeneral!E36</f>
        <v>0</v>
      </c>
    </row>
    <row r="19" spans="1:6" ht="20" customHeight="1" x14ac:dyDescent="0.2">
      <c r="A19" s="70" t="s">
        <v>198</v>
      </c>
      <c r="B19" s="82">
        <f>HorarioGeneral!E5</f>
        <v>0</v>
      </c>
      <c r="C19" s="83">
        <f>HorarioGeneral!E13</f>
        <v>0</v>
      </c>
      <c r="D19" s="83">
        <f>HorarioGeneral!E21</f>
        <v>0</v>
      </c>
      <c r="E19" s="83">
        <f>HorarioGeneral!E29</f>
        <v>0</v>
      </c>
      <c r="F19" s="84">
        <f>HorarioGeneral!E37</f>
        <v>0</v>
      </c>
    </row>
    <row r="20" spans="1:6" ht="20" customHeight="1" x14ac:dyDescent="0.2">
      <c r="A20" s="70" t="s">
        <v>197</v>
      </c>
      <c r="B20" s="498" t="s">
        <v>196</v>
      </c>
      <c r="C20" s="499"/>
      <c r="D20" s="499"/>
      <c r="E20" s="499"/>
      <c r="F20" s="500"/>
    </row>
    <row r="21" spans="1:6" ht="20" customHeight="1" x14ac:dyDescent="0.2">
      <c r="A21" s="70" t="s">
        <v>195</v>
      </c>
      <c r="B21" s="82">
        <f>HorarioGeneral!E6</f>
        <v>0</v>
      </c>
      <c r="C21" s="83">
        <f>HorarioGeneral!E14</f>
        <v>0</v>
      </c>
      <c r="D21" s="83">
        <f>HorarioGeneral!E22</f>
        <v>0</v>
      </c>
      <c r="E21" s="83">
        <f>HorarioGeneral!E30</f>
        <v>0</v>
      </c>
      <c r="F21" s="84">
        <f>HorarioGeneral!E38</f>
        <v>0</v>
      </c>
    </row>
    <row r="22" spans="1:6" ht="20" customHeight="1" x14ac:dyDescent="0.2">
      <c r="A22" s="70" t="s">
        <v>194</v>
      </c>
      <c r="B22" s="82">
        <f>HorarioGeneral!E7</f>
        <v>0</v>
      </c>
      <c r="C22" s="83">
        <f>HorarioGeneral!E15</f>
        <v>0</v>
      </c>
      <c r="D22" s="83">
        <f>HorarioGeneral!E23</f>
        <v>0</v>
      </c>
      <c r="E22" s="83">
        <f>HorarioGeneral!E31</f>
        <v>0</v>
      </c>
      <c r="F22" s="84">
        <f>HorarioGeneral!E39</f>
        <v>0</v>
      </c>
    </row>
    <row r="23" spans="1:6" ht="20" customHeight="1" x14ac:dyDescent="0.2">
      <c r="A23" s="70" t="s">
        <v>193</v>
      </c>
      <c r="B23" s="82">
        <f>HorarioGeneral!E8</f>
        <v>0</v>
      </c>
      <c r="C23" s="83">
        <f>HorarioGeneral!E16</f>
        <v>0</v>
      </c>
      <c r="D23" s="83">
        <f>HorarioGeneral!E24</f>
        <v>0</v>
      </c>
      <c r="E23" s="83">
        <f>HorarioGeneral!E32</f>
        <v>0</v>
      </c>
      <c r="F23" s="84">
        <f>HorarioGeneral!E40</f>
        <v>0</v>
      </c>
    </row>
    <row r="24" spans="1:6" ht="20" customHeight="1" x14ac:dyDescent="0.2">
      <c r="A24" s="70" t="s">
        <v>192</v>
      </c>
      <c r="B24" s="498" t="s">
        <v>191</v>
      </c>
      <c r="C24" s="499"/>
      <c r="D24" s="499"/>
      <c r="E24" s="499"/>
      <c r="F24" s="500"/>
    </row>
    <row r="25" spans="1:6" ht="20" customHeight="1" x14ac:dyDescent="0.2">
      <c r="A25" s="70" t="s">
        <v>190</v>
      </c>
      <c r="B25" s="82">
        <f>HorarioGeneral!E9</f>
        <v>0</v>
      </c>
      <c r="C25" s="83">
        <f>HorarioGeneral!E17</f>
        <v>0</v>
      </c>
      <c r="D25" s="83">
        <f>HorarioGeneral!E25</f>
        <v>0</v>
      </c>
      <c r="E25" s="83">
        <f>HorarioGeneral!E33</f>
        <v>0</v>
      </c>
      <c r="F25" s="84">
        <f>HorarioGeneral!E41</f>
        <v>0</v>
      </c>
    </row>
    <row r="26" spans="1:6" ht="20" customHeight="1" x14ac:dyDescent="0.2">
      <c r="A26" s="70" t="s">
        <v>189</v>
      </c>
      <c r="B26" s="82">
        <f>HorarioGeneral!E10</f>
        <v>0</v>
      </c>
      <c r="C26" s="83">
        <f>HorarioGeneral!E18</f>
        <v>0</v>
      </c>
      <c r="D26" s="83">
        <f>HorarioGeneral!E26</f>
        <v>0</v>
      </c>
      <c r="E26" s="83">
        <f>HorarioGeneral!E34</f>
        <v>0</v>
      </c>
      <c r="F26" s="84">
        <f>HorarioGeneral!E42</f>
        <v>0</v>
      </c>
    </row>
    <row r="27" spans="1:6" ht="20" customHeight="1" thickBot="1" x14ac:dyDescent="0.25">
      <c r="A27" s="92" t="s">
        <v>244</v>
      </c>
      <c r="B27" s="93">
        <f>HorarioGeneral!E11</f>
        <v>0</v>
      </c>
      <c r="C27" s="94">
        <f>HorarioGeneral!E19</f>
        <v>0</v>
      </c>
      <c r="D27" s="94">
        <f>HorarioGeneral!E27</f>
        <v>0</v>
      </c>
      <c r="E27" s="94">
        <f>HorarioGeneral!E35</f>
        <v>0</v>
      </c>
      <c r="F27" s="95">
        <f>HorarioGeneral!E43</f>
        <v>0</v>
      </c>
    </row>
    <row r="31" spans="1:6" ht="16" thickBot="1" x14ac:dyDescent="0.25">
      <c r="A31" s="501" t="s">
        <v>274</v>
      </c>
      <c r="B31" s="501"/>
      <c r="C31" s="501"/>
      <c r="D31" s="501"/>
      <c r="E31" s="501"/>
      <c r="F31" s="501"/>
    </row>
    <row r="32" spans="1:6" x14ac:dyDescent="0.2">
      <c r="A32" s="69" t="s">
        <v>205</v>
      </c>
      <c r="B32" s="72" t="s">
        <v>204</v>
      </c>
      <c r="C32" s="73" t="s">
        <v>203</v>
      </c>
      <c r="D32" s="73" t="s">
        <v>202</v>
      </c>
      <c r="E32" s="73" t="s">
        <v>201</v>
      </c>
      <c r="F32" s="74" t="s">
        <v>200</v>
      </c>
    </row>
    <row r="33" spans="1:6" ht="19" x14ac:dyDescent="0.2">
      <c r="A33" s="70" t="s">
        <v>199</v>
      </c>
      <c r="B33" s="82"/>
      <c r="C33" s="83"/>
      <c r="D33" s="83"/>
      <c r="E33" s="83"/>
      <c r="F33" s="84"/>
    </row>
    <row r="34" spans="1:6" ht="19" x14ac:dyDescent="0.2">
      <c r="A34" s="70" t="s">
        <v>198</v>
      </c>
      <c r="B34" s="82"/>
      <c r="C34" s="83"/>
      <c r="D34" s="83"/>
      <c r="E34" s="83"/>
      <c r="F34" s="84"/>
    </row>
    <row r="35" spans="1:6" x14ac:dyDescent="0.2">
      <c r="A35" s="70" t="s">
        <v>197</v>
      </c>
      <c r="B35" s="498" t="s">
        <v>196</v>
      </c>
      <c r="C35" s="499"/>
      <c r="D35" s="499"/>
      <c r="E35" s="499"/>
      <c r="F35" s="500"/>
    </row>
    <row r="36" spans="1:6" ht="19" x14ac:dyDescent="0.2">
      <c r="A36" s="70" t="s">
        <v>195</v>
      </c>
      <c r="B36" s="82"/>
      <c r="C36" s="83"/>
      <c r="D36" s="83"/>
      <c r="E36" s="83"/>
      <c r="F36" s="84"/>
    </row>
    <row r="37" spans="1:6" ht="19" x14ac:dyDescent="0.2">
      <c r="A37" s="70" t="s">
        <v>194</v>
      </c>
      <c r="B37" s="82"/>
      <c r="C37" s="83"/>
      <c r="D37" s="83"/>
      <c r="E37" s="83"/>
      <c r="F37" s="84"/>
    </row>
    <row r="38" spans="1:6" ht="19" x14ac:dyDescent="0.2">
      <c r="A38" s="70" t="s">
        <v>193</v>
      </c>
      <c r="B38" s="82"/>
      <c r="C38" s="83"/>
      <c r="D38" s="83"/>
      <c r="E38" s="83"/>
      <c r="F38" s="84"/>
    </row>
    <row r="39" spans="1:6" x14ac:dyDescent="0.2">
      <c r="A39" s="70" t="s">
        <v>192</v>
      </c>
      <c r="B39" s="498" t="s">
        <v>191</v>
      </c>
      <c r="C39" s="499"/>
      <c r="D39" s="499"/>
      <c r="E39" s="499"/>
      <c r="F39" s="500"/>
    </row>
    <row r="40" spans="1:6" ht="19" x14ac:dyDescent="0.2">
      <c r="A40" s="70" t="s">
        <v>190</v>
      </c>
      <c r="B40" s="82"/>
      <c r="C40" s="83"/>
      <c r="D40" s="83"/>
      <c r="E40" s="83"/>
      <c r="F40" s="84"/>
    </row>
    <row r="41" spans="1:6" ht="19" x14ac:dyDescent="0.2">
      <c r="A41" s="70" t="s">
        <v>189</v>
      </c>
      <c r="B41" s="82"/>
      <c r="C41" s="83"/>
      <c r="D41" s="83"/>
      <c r="E41" s="83"/>
      <c r="F41" s="84"/>
    </row>
    <row r="42" spans="1:6" ht="20" thickBot="1" x14ac:dyDescent="0.25">
      <c r="A42" s="92" t="s">
        <v>244</v>
      </c>
      <c r="B42" s="93"/>
      <c r="C42" s="94"/>
      <c r="D42" s="94"/>
      <c r="E42" s="94"/>
      <c r="F42" s="95"/>
    </row>
    <row r="46" spans="1:6" ht="16" thickBot="1" x14ac:dyDescent="0.25">
      <c r="A46" s="501" t="s">
        <v>275</v>
      </c>
      <c r="B46" s="501"/>
      <c r="C46" s="501"/>
      <c r="D46" s="501"/>
      <c r="E46" s="501"/>
      <c r="F46" s="501"/>
    </row>
    <row r="47" spans="1:6" ht="20" customHeight="1" x14ac:dyDescent="0.2">
      <c r="A47" s="69" t="s">
        <v>205</v>
      </c>
      <c r="B47" s="72" t="s">
        <v>204</v>
      </c>
      <c r="C47" s="73" t="s">
        <v>203</v>
      </c>
      <c r="D47" s="73" t="s">
        <v>202</v>
      </c>
      <c r="E47" s="73" t="s">
        <v>201</v>
      </c>
      <c r="F47" s="74" t="s">
        <v>200</v>
      </c>
    </row>
    <row r="48" spans="1:6" ht="20" customHeight="1" x14ac:dyDescent="0.2">
      <c r="A48" s="70" t="s">
        <v>199</v>
      </c>
      <c r="B48" s="82"/>
      <c r="C48" s="83"/>
      <c r="D48" s="83"/>
      <c r="E48" s="83"/>
      <c r="F48" s="84"/>
    </row>
    <row r="49" spans="1:6" ht="20" customHeight="1" x14ac:dyDescent="0.2">
      <c r="A49" s="70" t="s">
        <v>198</v>
      </c>
      <c r="B49" s="82"/>
      <c r="C49" s="83"/>
      <c r="D49" s="83"/>
      <c r="E49" s="83"/>
      <c r="F49" s="84"/>
    </row>
    <row r="50" spans="1:6" ht="20" customHeight="1" x14ac:dyDescent="0.2">
      <c r="A50" s="70" t="s">
        <v>197</v>
      </c>
      <c r="B50" s="498" t="s">
        <v>196</v>
      </c>
      <c r="C50" s="499"/>
      <c r="D50" s="499"/>
      <c r="E50" s="499"/>
      <c r="F50" s="500"/>
    </row>
    <row r="51" spans="1:6" ht="20" customHeight="1" x14ac:dyDescent="0.2">
      <c r="A51" s="70" t="s">
        <v>195</v>
      </c>
      <c r="B51" s="82"/>
      <c r="C51" s="83"/>
      <c r="D51" s="83"/>
      <c r="E51" s="83"/>
      <c r="F51" s="84"/>
    </row>
    <row r="52" spans="1:6" ht="20" customHeight="1" x14ac:dyDescent="0.2">
      <c r="A52" s="70" t="s">
        <v>194</v>
      </c>
      <c r="B52" s="82"/>
      <c r="C52" s="83"/>
      <c r="D52" s="83"/>
      <c r="E52" s="83"/>
      <c r="F52" s="84"/>
    </row>
    <row r="53" spans="1:6" ht="20" customHeight="1" x14ac:dyDescent="0.2">
      <c r="A53" s="70" t="s">
        <v>193</v>
      </c>
      <c r="B53" s="82"/>
      <c r="C53" s="83"/>
      <c r="D53" s="83"/>
      <c r="E53" s="83"/>
      <c r="F53" s="84"/>
    </row>
    <row r="54" spans="1:6" ht="20" customHeight="1" x14ac:dyDescent="0.2">
      <c r="A54" s="70" t="s">
        <v>192</v>
      </c>
      <c r="B54" s="498" t="s">
        <v>191</v>
      </c>
      <c r="C54" s="499"/>
      <c r="D54" s="499"/>
      <c r="E54" s="499"/>
      <c r="F54" s="500"/>
    </row>
    <row r="55" spans="1:6" ht="20" customHeight="1" x14ac:dyDescent="0.2">
      <c r="A55" s="70" t="s">
        <v>190</v>
      </c>
      <c r="B55" s="82"/>
      <c r="C55" s="83"/>
      <c r="D55" s="83"/>
      <c r="E55" s="83"/>
      <c r="F55" s="84"/>
    </row>
    <row r="56" spans="1:6" ht="20" customHeight="1" x14ac:dyDescent="0.2">
      <c r="A56" s="70" t="s">
        <v>189</v>
      </c>
      <c r="B56" s="82"/>
      <c r="C56" s="83"/>
      <c r="D56" s="83"/>
      <c r="E56" s="83"/>
      <c r="F56" s="84"/>
    </row>
    <row r="57" spans="1:6" ht="20" customHeight="1" thickBot="1" x14ac:dyDescent="0.25">
      <c r="A57" s="92" t="s">
        <v>244</v>
      </c>
      <c r="B57" s="93"/>
      <c r="C57" s="94"/>
      <c r="D57" s="94"/>
      <c r="E57" s="94"/>
      <c r="F57" s="95"/>
    </row>
    <row r="61" spans="1:6" ht="16" thickBot="1" x14ac:dyDescent="0.25">
      <c r="A61" s="501" t="s">
        <v>276</v>
      </c>
      <c r="B61" s="501"/>
      <c r="C61" s="501"/>
      <c r="D61" s="501"/>
      <c r="E61" s="501"/>
      <c r="F61" s="501"/>
    </row>
    <row r="62" spans="1:6" ht="20" customHeight="1" x14ac:dyDescent="0.2">
      <c r="A62" s="69" t="s">
        <v>205</v>
      </c>
      <c r="B62" s="72" t="s">
        <v>204</v>
      </c>
      <c r="C62" s="73" t="s">
        <v>203</v>
      </c>
      <c r="D62" s="73" t="s">
        <v>202</v>
      </c>
      <c r="E62" s="73" t="s">
        <v>201</v>
      </c>
      <c r="F62" s="74" t="s">
        <v>200</v>
      </c>
    </row>
    <row r="63" spans="1:6" ht="20" customHeight="1" x14ac:dyDescent="0.2">
      <c r="A63" s="70" t="s">
        <v>199</v>
      </c>
      <c r="B63" s="82"/>
      <c r="C63" s="83"/>
      <c r="D63" s="83"/>
      <c r="E63" s="83"/>
      <c r="F63" s="84"/>
    </row>
    <row r="64" spans="1:6" ht="20" customHeight="1" x14ac:dyDescent="0.2">
      <c r="A64" s="70" t="s">
        <v>198</v>
      </c>
      <c r="B64" s="82"/>
      <c r="C64" s="83"/>
      <c r="D64" s="83"/>
      <c r="E64" s="83"/>
      <c r="F64" s="84"/>
    </row>
    <row r="65" spans="1:6" ht="20" customHeight="1" x14ac:dyDescent="0.2">
      <c r="A65" s="70" t="s">
        <v>197</v>
      </c>
      <c r="B65" s="498" t="s">
        <v>196</v>
      </c>
      <c r="C65" s="499"/>
      <c r="D65" s="499"/>
      <c r="E65" s="499"/>
      <c r="F65" s="500"/>
    </row>
    <row r="66" spans="1:6" ht="20" customHeight="1" x14ac:dyDescent="0.2">
      <c r="A66" s="70" t="s">
        <v>195</v>
      </c>
      <c r="B66" s="82"/>
      <c r="C66" s="83"/>
      <c r="D66" s="83"/>
      <c r="E66" s="83"/>
      <c r="F66" s="84"/>
    </row>
    <row r="67" spans="1:6" ht="20" customHeight="1" x14ac:dyDescent="0.2">
      <c r="A67" s="70" t="s">
        <v>194</v>
      </c>
      <c r="B67" s="82"/>
      <c r="C67" s="83"/>
      <c r="D67" s="83"/>
      <c r="E67" s="83"/>
      <c r="F67" s="84"/>
    </row>
    <row r="68" spans="1:6" ht="20" customHeight="1" x14ac:dyDescent="0.2">
      <c r="A68" s="70" t="s">
        <v>193</v>
      </c>
      <c r="B68" s="82"/>
      <c r="C68" s="83"/>
      <c r="D68" s="83"/>
      <c r="E68" s="83"/>
      <c r="F68" s="84"/>
    </row>
    <row r="69" spans="1:6" ht="20" customHeight="1" x14ac:dyDescent="0.2">
      <c r="A69" s="70" t="s">
        <v>192</v>
      </c>
      <c r="B69" s="498" t="s">
        <v>191</v>
      </c>
      <c r="C69" s="499"/>
      <c r="D69" s="499"/>
      <c r="E69" s="499"/>
      <c r="F69" s="500"/>
    </row>
    <row r="70" spans="1:6" ht="20" customHeight="1" x14ac:dyDescent="0.2">
      <c r="A70" s="70" t="s">
        <v>190</v>
      </c>
      <c r="B70" s="82"/>
      <c r="C70" s="83"/>
      <c r="D70" s="83"/>
      <c r="E70" s="83"/>
      <c r="F70" s="84"/>
    </row>
    <row r="71" spans="1:6" ht="20" customHeight="1" x14ac:dyDescent="0.2">
      <c r="A71" s="70" t="s">
        <v>189</v>
      </c>
      <c r="B71" s="82"/>
      <c r="C71" s="83"/>
      <c r="D71" s="83"/>
      <c r="E71" s="83"/>
      <c r="F71" s="84"/>
    </row>
    <row r="72" spans="1:6" ht="20" customHeight="1" thickBot="1" x14ac:dyDescent="0.25">
      <c r="A72" s="92" t="s">
        <v>244</v>
      </c>
      <c r="B72" s="93"/>
      <c r="C72" s="94"/>
      <c r="D72" s="94"/>
      <c r="E72" s="94"/>
      <c r="F72" s="95"/>
    </row>
    <row r="76" spans="1:6" ht="16" thickBot="1" x14ac:dyDescent="0.25">
      <c r="A76" s="501" t="s">
        <v>277</v>
      </c>
      <c r="B76" s="501"/>
      <c r="C76" s="501"/>
      <c r="D76" s="501"/>
      <c r="E76" s="501"/>
      <c r="F76" s="501"/>
    </row>
    <row r="77" spans="1:6" ht="20" customHeight="1" x14ac:dyDescent="0.2">
      <c r="A77" s="69" t="s">
        <v>205</v>
      </c>
      <c r="B77" s="72" t="s">
        <v>204</v>
      </c>
      <c r="C77" s="73" t="s">
        <v>203</v>
      </c>
      <c r="D77" s="73" t="s">
        <v>202</v>
      </c>
      <c r="E77" s="73" t="s">
        <v>201</v>
      </c>
      <c r="F77" s="74" t="s">
        <v>200</v>
      </c>
    </row>
    <row r="78" spans="1:6" ht="20" customHeight="1" x14ac:dyDescent="0.2">
      <c r="A78" s="70" t="s">
        <v>199</v>
      </c>
      <c r="B78" s="82"/>
      <c r="C78" s="83"/>
      <c r="D78" s="83"/>
      <c r="E78" s="83"/>
      <c r="F78" s="84"/>
    </row>
    <row r="79" spans="1:6" ht="20" customHeight="1" x14ac:dyDescent="0.2">
      <c r="A79" s="70" t="s">
        <v>198</v>
      </c>
      <c r="B79" s="82"/>
      <c r="C79" s="83"/>
      <c r="D79" s="83"/>
      <c r="E79" s="83"/>
      <c r="F79" s="84"/>
    </row>
    <row r="80" spans="1:6" ht="20" customHeight="1" x14ac:dyDescent="0.2">
      <c r="A80" s="70" t="s">
        <v>197</v>
      </c>
      <c r="B80" s="498" t="s">
        <v>196</v>
      </c>
      <c r="C80" s="499"/>
      <c r="D80" s="499"/>
      <c r="E80" s="499"/>
      <c r="F80" s="500"/>
    </row>
    <row r="81" spans="1:6" ht="20" customHeight="1" x14ac:dyDescent="0.2">
      <c r="A81" s="70" t="s">
        <v>195</v>
      </c>
      <c r="B81" s="82"/>
      <c r="C81" s="83"/>
      <c r="D81" s="83"/>
      <c r="E81" s="83"/>
      <c r="F81" s="84"/>
    </row>
    <row r="82" spans="1:6" ht="20" customHeight="1" x14ac:dyDescent="0.2">
      <c r="A82" s="70" t="s">
        <v>194</v>
      </c>
      <c r="B82" s="82"/>
      <c r="C82" s="83"/>
      <c r="D82" s="83"/>
      <c r="E82" s="83"/>
      <c r="F82" s="84"/>
    </row>
    <row r="83" spans="1:6" ht="20" customHeight="1" x14ac:dyDescent="0.2">
      <c r="A83" s="70" t="s">
        <v>193</v>
      </c>
      <c r="B83" s="82"/>
      <c r="C83" s="83"/>
      <c r="D83" s="83"/>
      <c r="E83" s="83"/>
      <c r="F83" s="84"/>
    </row>
    <row r="84" spans="1:6" ht="20" customHeight="1" x14ac:dyDescent="0.2">
      <c r="A84" s="70" t="s">
        <v>192</v>
      </c>
      <c r="B84" s="498" t="s">
        <v>191</v>
      </c>
      <c r="C84" s="499"/>
      <c r="D84" s="499"/>
      <c r="E84" s="499"/>
      <c r="F84" s="500"/>
    </row>
    <row r="85" spans="1:6" ht="20" customHeight="1" x14ac:dyDescent="0.2">
      <c r="A85" s="70" t="s">
        <v>190</v>
      </c>
      <c r="B85" s="82"/>
      <c r="C85" s="83"/>
      <c r="D85" s="83"/>
      <c r="E85" s="83"/>
      <c r="F85" s="84"/>
    </row>
    <row r="86" spans="1:6" ht="20" customHeight="1" x14ac:dyDescent="0.2">
      <c r="A86" s="70" t="s">
        <v>189</v>
      </c>
      <c r="B86" s="82"/>
      <c r="C86" s="83"/>
      <c r="D86" s="83"/>
      <c r="E86" s="83"/>
      <c r="F86" s="84"/>
    </row>
    <row r="87" spans="1:6" ht="20" customHeight="1" thickBot="1" x14ac:dyDescent="0.25">
      <c r="A87" s="92" t="s">
        <v>244</v>
      </c>
      <c r="B87" s="93"/>
      <c r="C87" s="94"/>
      <c r="D87" s="94"/>
      <c r="E87" s="94"/>
      <c r="F87" s="95"/>
    </row>
  </sheetData>
  <mergeCells count="18">
    <mergeCell ref="A1:F1"/>
    <mergeCell ref="A16:F16"/>
    <mergeCell ref="B20:F20"/>
    <mergeCell ref="B24:F24"/>
    <mergeCell ref="B5:F5"/>
    <mergeCell ref="B9:F9"/>
    <mergeCell ref="A31:F31"/>
    <mergeCell ref="B35:F35"/>
    <mergeCell ref="B39:F39"/>
    <mergeCell ref="A46:F46"/>
    <mergeCell ref="B50:F50"/>
    <mergeCell ref="B80:F80"/>
    <mergeCell ref="B84:F84"/>
    <mergeCell ref="B54:F54"/>
    <mergeCell ref="A61:F61"/>
    <mergeCell ref="B65:F65"/>
    <mergeCell ref="B69:F69"/>
    <mergeCell ref="A76:F76"/>
  </mergeCells>
  <phoneticPr fontId="12" type="noConversion"/>
  <dataValidations count="1">
    <dataValidation type="list" allowBlank="1" showInputMessage="1" showErrorMessage="1" sqref="I1" xr:uid="{00000000-0002-0000-0700-000000000000}">
      <formula1>ListaMaestros</formula1>
    </dataValidation>
  </dataValidations>
  <pageMargins left="0.7" right="0.7" top="0.75" bottom="0.75" header="0.3" footer="0.3"/>
  <pageSetup scale="74" fitToHeight="3" orientation="landscape" horizontalDpi="300" verticalDpi="300" r:id="rId1"/>
  <headerFooter>
    <oddHeader>&amp;CESCUELA SECUNDARIA TÉCNICA NO. 4_x000D_"" CLAVE:_x000D_LAS VARAS, NAYARIT_x000D__x000D_HORARIO DE CLASES_x000D_CICLO ESCOLAR 2015-2016</oddHeader>
  </headerFooter>
  <rowBreaks count="5" manualBreakCount="5">
    <brk id="15" max="16383" man="1"/>
    <brk id="30" max="16383" man="1"/>
    <brk id="45" max="16383" man="1"/>
    <brk id="60" max="16383" man="1"/>
    <brk id="75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">
    <pageSetUpPr fitToPage="1"/>
  </sheetPr>
  <dimension ref="A1:F95"/>
  <sheetViews>
    <sheetView zoomScale="120" zoomScaleNormal="120" zoomScalePageLayoutView="120" workbookViewId="0">
      <selection activeCell="B10" sqref="B10"/>
    </sheetView>
  </sheetViews>
  <sheetFormatPr baseColWidth="10" defaultRowHeight="15" x14ac:dyDescent="0.2"/>
  <cols>
    <col min="1" max="1" width="15.6640625" customWidth="1"/>
    <col min="2" max="6" width="27.6640625" customWidth="1"/>
  </cols>
  <sheetData>
    <row r="1" spans="1:6" x14ac:dyDescent="0.2">
      <c r="A1" s="501" t="s">
        <v>248</v>
      </c>
      <c r="B1" s="501"/>
      <c r="C1" s="501"/>
      <c r="D1" s="501"/>
      <c r="E1" s="501"/>
      <c r="F1" s="501"/>
    </row>
    <row r="2" spans="1:6" x14ac:dyDescent="0.2">
      <c r="A2" s="501" t="s">
        <v>249</v>
      </c>
      <c r="B2" s="501"/>
      <c r="C2" s="501"/>
      <c r="D2" s="501"/>
      <c r="E2" s="501"/>
      <c r="F2" s="501"/>
    </row>
    <row r="3" spans="1:6" x14ac:dyDescent="0.2">
      <c r="A3" s="501" t="s">
        <v>246</v>
      </c>
      <c r="B3" s="501"/>
      <c r="C3" s="501"/>
      <c r="D3" s="501"/>
      <c r="E3" s="501"/>
      <c r="F3" s="501"/>
    </row>
    <row r="4" spans="1:6" x14ac:dyDescent="0.2">
      <c r="A4" s="98"/>
      <c r="B4" s="98"/>
      <c r="C4" s="98"/>
      <c r="D4" s="98"/>
      <c r="E4" s="98"/>
      <c r="F4" s="98"/>
    </row>
    <row r="5" spans="1:6" x14ac:dyDescent="0.2">
      <c r="A5" s="501" t="s">
        <v>247</v>
      </c>
      <c r="B5" s="501"/>
      <c r="C5" s="501"/>
      <c r="D5" s="501"/>
      <c r="E5" s="501"/>
      <c r="F5" s="501"/>
    </row>
    <row r="6" spans="1:6" x14ac:dyDescent="0.2">
      <c r="A6" s="501" t="s">
        <v>207</v>
      </c>
      <c r="B6" s="501"/>
      <c r="C6" s="501"/>
      <c r="D6" s="501"/>
      <c r="E6" s="501"/>
      <c r="F6" s="501"/>
    </row>
    <row r="8" spans="1:6" ht="16" thickBot="1" x14ac:dyDescent="0.25">
      <c r="A8" s="501" t="s">
        <v>209</v>
      </c>
      <c r="B8" s="501"/>
      <c r="C8" s="501"/>
      <c r="D8" s="501"/>
      <c r="E8" s="501"/>
      <c r="F8" s="501"/>
    </row>
    <row r="9" spans="1:6" ht="20" customHeight="1" x14ac:dyDescent="0.2">
      <c r="A9" s="69" t="s">
        <v>205</v>
      </c>
      <c r="B9" s="72" t="s">
        <v>204</v>
      </c>
      <c r="C9" s="73" t="s">
        <v>203</v>
      </c>
      <c r="D9" s="73" t="s">
        <v>202</v>
      </c>
      <c r="E9" s="73" t="s">
        <v>201</v>
      </c>
      <c r="F9" s="74" t="s">
        <v>200</v>
      </c>
    </row>
    <row r="10" spans="1:6" ht="20" customHeight="1" x14ac:dyDescent="0.2">
      <c r="A10" s="70" t="s">
        <v>199</v>
      </c>
      <c r="B10" s="82" t="str">
        <f>HorarioGeneral!J4</f>
        <v>Español II - RAUL</v>
      </c>
      <c r="C10" s="83" t="str">
        <f>HorarioGeneral!J12</f>
        <v>Matemáticas II - MANUEL</v>
      </c>
      <c r="D10" s="83" t="str">
        <f>HorarioGeneral!J20</f>
        <v>Matemáticas II - MANUEL</v>
      </c>
      <c r="E10" s="83" t="str">
        <f>HorarioGeneral!J28</f>
        <v>Matemáticas II - MANUEL</v>
      </c>
      <c r="F10" s="84" t="str">
        <f>HorarioGeneral!J36</f>
        <v>Español II - RAUL</v>
      </c>
    </row>
    <row r="11" spans="1:6" ht="20" customHeight="1" x14ac:dyDescent="0.2">
      <c r="A11" s="70" t="s">
        <v>198</v>
      </c>
      <c r="B11" s="82" t="str">
        <f>HorarioGeneral!J5</f>
        <v>Matemáticas II - MANUEL</v>
      </c>
      <c r="C11" s="83" t="str">
        <f>HorarioGeneral!J13</f>
        <v>Español II - RAUL</v>
      </c>
      <c r="D11" s="83" t="str">
        <f>HorarioGeneral!J21</f>
        <v>Español II - RAUL</v>
      </c>
      <c r="E11" s="83" t="str">
        <f>HorarioGeneral!J29</f>
        <v>Tecnología - LORENA</v>
      </c>
      <c r="F11" s="84" t="str">
        <f>HorarioGeneral!J37</f>
        <v>Matemáticas II - MANUEL</v>
      </c>
    </row>
    <row r="12" spans="1:6" ht="20" customHeight="1" x14ac:dyDescent="0.2">
      <c r="A12" s="70" t="s">
        <v>197</v>
      </c>
      <c r="B12" s="498" t="s">
        <v>226</v>
      </c>
      <c r="C12" s="499"/>
      <c r="D12" s="499"/>
      <c r="E12" s="499"/>
      <c r="F12" s="500"/>
    </row>
    <row r="13" spans="1:6" ht="20" customHeight="1" x14ac:dyDescent="0.2">
      <c r="A13" s="70" t="s">
        <v>195</v>
      </c>
      <c r="B13" s="82" t="str">
        <f>HorarioGeneral!J6</f>
        <v>Ciencias II - CARLOS</v>
      </c>
      <c r="C13" s="83" t="str">
        <f>HorarioGeneral!J14</f>
        <v>Ciencias II - CARLOS</v>
      </c>
      <c r="D13" s="83" t="str">
        <f>HorarioGeneral!J22</f>
        <v>Tutoría - JOSE</v>
      </c>
      <c r="E13" s="83" t="str">
        <f>HorarioGeneral!J30</f>
        <v>Español II - RAUL</v>
      </c>
      <c r="F13" s="84" t="str">
        <f>HorarioGeneral!J38</f>
        <v>Historia II - JOSE</v>
      </c>
    </row>
    <row r="14" spans="1:6" ht="20" customHeight="1" x14ac:dyDescent="0.2">
      <c r="A14" s="70" t="s">
        <v>194</v>
      </c>
      <c r="B14" s="82" t="str">
        <f>HorarioGeneral!J7</f>
        <v>Ciencias II - CARLOS</v>
      </c>
      <c r="C14" s="83" t="str">
        <f>HorarioGeneral!J15</f>
        <v>Historia II - JOSE</v>
      </c>
      <c r="D14" s="83" t="str">
        <f>HorarioGeneral!J23</f>
        <v>FCE II - LORENA</v>
      </c>
      <c r="E14" s="83" t="str">
        <f>HorarioGeneral!J31</f>
        <v>A. Curricular - LORENA</v>
      </c>
      <c r="F14" s="84" t="str">
        <f>HorarioGeneral!J39</f>
        <v>Historia II - JOSE</v>
      </c>
    </row>
    <row r="15" spans="1:6" ht="20" customHeight="1" x14ac:dyDescent="0.2">
      <c r="A15" s="70" t="s">
        <v>193</v>
      </c>
      <c r="B15" s="82" t="str">
        <f>HorarioGeneral!J8</f>
        <v>FCE II - LORENA</v>
      </c>
      <c r="C15" s="83" t="str">
        <f>HorarioGeneral!J16</f>
        <v>Inglés II - GUSTAVO</v>
      </c>
      <c r="D15" s="83" t="str">
        <f>HorarioGeneral!J24</f>
        <v>Inglés II - GUSTAVO</v>
      </c>
      <c r="E15" s="83" t="str">
        <f>HorarioGeneral!J32</f>
        <v>Inglés II - GUSTAVO</v>
      </c>
      <c r="F15" s="84" t="str">
        <f>HorarioGeneral!J40</f>
        <v>Ciencias II - CARLOS</v>
      </c>
    </row>
    <row r="16" spans="1:6" ht="20" customHeight="1" x14ac:dyDescent="0.2">
      <c r="A16" s="70" t="s">
        <v>192</v>
      </c>
      <c r="B16" s="498" t="s">
        <v>191</v>
      </c>
      <c r="C16" s="499"/>
      <c r="D16" s="499"/>
      <c r="E16" s="499"/>
      <c r="F16" s="500"/>
    </row>
    <row r="17" spans="1:6" ht="20" customHeight="1" x14ac:dyDescent="0.2">
      <c r="A17" s="70" t="s">
        <v>190</v>
      </c>
      <c r="B17" s="82" t="str">
        <f>HorarioGeneral!J9</f>
        <v>Educ. Física II - MACEDONIO</v>
      </c>
      <c r="C17" s="83" t="str">
        <f>HorarioGeneral!J17</f>
        <v>Tecnología - LORENA</v>
      </c>
      <c r="D17" s="83" t="str">
        <f>HorarioGeneral!J25</f>
        <v>Artes II - XITLALI</v>
      </c>
      <c r="E17" s="83" t="str">
        <f>HorarioGeneral!J33</f>
        <v>Educ. Física II - MACEDONIO</v>
      </c>
      <c r="F17" s="84" t="str">
        <f>HorarioGeneral!J41</f>
        <v>Ciencias II - CARLOS</v>
      </c>
    </row>
    <row r="18" spans="1:6" ht="20" customHeight="1" x14ac:dyDescent="0.2">
      <c r="A18" s="70" t="s">
        <v>189</v>
      </c>
      <c r="B18" s="82" t="str">
        <f>HorarioGeneral!J10</f>
        <v>Tecnología - LORENA</v>
      </c>
      <c r="C18" s="83" t="str">
        <f>HorarioGeneral!J18</f>
        <v>Tecnología - LORENA</v>
      </c>
      <c r="D18" s="83" t="str">
        <f>HorarioGeneral!J26</f>
        <v>Tecnología - LORENA</v>
      </c>
      <c r="E18" s="83" t="str">
        <f>HorarioGeneral!J34</f>
        <v>Ciencias II - CARLOS</v>
      </c>
      <c r="F18" s="84" t="str">
        <f>HorarioGeneral!J42</f>
        <v>Artes II - XITLALI</v>
      </c>
    </row>
    <row r="19" spans="1:6" ht="20" customHeight="1" thickBot="1" x14ac:dyDescent="0.25">
      <c r="A19" s="92" t="s">
        <v>244</v>
      </c>
      <c r="B19" s="93" t="str">
        <f>HorarioGeneral!J11</f>
        <v>Tecnología - LORENA</v>
      </c>
      <c r="C19" s="94" t="str">
        <f>HorarioGeneral!J19</f>
        <v>Tecnología - LORENA</v>
      </c>
      <c r="D19" s="94" t="str">
        <f>HorarioGeneral!J27</f>
        <v>Tecnología - LORENA</v>
      </c>
      <c r="E19" s="94" t="str">
        <f>HorarioGeneral!J35</f>
        <v>Historia II - JOSE</v>
      </c>
      <c r="F19" s="95" t="str">
        <f>HorarioGeneral!J43</f>
        <v>Artes II - XITLALI</v>
      </c>
    </row>
    <row r="23" spans="1:6" ht="16" thickBot="1" x14ac:dyDescent="0.25">
      <c r="A23" s="501" t="s">
        <v>210</v>
      </c>
      <c r="B23" s="501"/>
      <c r="C23" s="501"/>
      <c r="D23" s="501"/>
      <c r="E23" s="501"/>
      <c r="F23" s="501"/>
    </row>
    <row r="24" spans="1:6" ht="20" customHeight="1" x14ac:dyDescent="0.2">
      <c r="A24" s="69" t="s">
        <v>205</v>
      </c>
      <c r="B24" s="72" t="s">
        <v>204</v>
      </c>
      <c r="C24" s="73" t="s">
        <v>203</v>
      </c>
      <c r="D24" s="73" t="s">
        <v>202</v>
      </c>
      <c r="E24" s="73" t="s">
        <v>201</v>
      </c>
      <c r="F24" s="74" t="s">
        <v>200</v>
      </c>
    </row>
    <row r="25" spans="1:6" ht="20" customHeight="1" x14ac:dyDescent="0.2">
      <c r="A25" s="70" t="s">
        <v>199</v>
      </c>
      <c r="B25" s="82" t="str">
        <f>HorarioGeneral!K4</f>
        <v>Matemáticas II - MANUEL</v>
      </c>
      <c r="C25" s="83" t="str">
        <f>HorarioGeneral!K12</f>
        <v>Ciencias II - CARLOS</v>
      </c>
      <c r="D25" s="83" t="str">
        <f>HorarioGeneral!K20</f>
        <v>Inglés II - GUSTAVO</v>
      </c>
      <c r="E25" s="83" t="str">
        <f>HorarioGeneral!K28</f>
        <v>Español II - RAUL</v>
      </c>
      <c r="F25" s="84" t="str">
        <f>HorarioGeneral!K36</f>
        <v>Matemáticas II - MANUEL</v>
      </c>
    </row>
    <row r="26" spans="1:6" ht="20" customHeight="1" x14ac:dyDescent="0.2">
      <c r="A26" s="70" t="s">
        <v>198</v>
      </c>
      <c r="B26" s="82" t="str">
        <f>HorarioGeneral!K5</f>
        <v>Ciencias II - CARLOS</v>
      </c>
      <c r="C26" s="83" t="str">
        <f>HorarioGeneral!K13</f>
        <v>Ciencias II - CARLOS</v>
      </c>
      <c r="D26" s="83" t="str">
        <f>HorarioGeneral!K21</f>
        <v>Matemáticas II - MANUEL</v>
      </c>
      <c r="E26" s="83" t="str">
        <f>HorarioGeneral!K29</f>
        <v>Inglés II - GUSTAVO</v>
      </c>
      <c r="F26" s="84" t="str">
        <f>HorarioGeneral!K37</f>
        <v>Ciencias II - CARLOS</v>
      </c>
    </row>
    <row r="27" spans="1:6" ht="20" customHeight="1" x14ac:dyDescent="0.2">
      <c r="A27" s="70" t="s">
        <v>197</v>
      </c>
      <c r="B27" s="498" t="s">
        <v>227</v>
      </c>
      <c r="C27" s="499"/>
      <c r="D27" s="499"/>
      <c r="E27" s="499"/>
      <c r="F27" s="500"/>
    </row>
    <row r="28" spans="1:6" ht="20" customHeight="1" x14ac:dyDescent="0.2">
      <c r="A28" s="70" t="s">
        <v>195</v>
      </c>
      <c r="B28" s="82" t="str">
        <f>HorarioGeneral!K6</f>
        <v>Español II - RAUL</v>
      </c>
      <c r="C28" s="83" t="str">
        <f>HorarioGeneral!K14</f>
        <v>Matemáticas II - MANUEL</v>
      </c>
      <c r="D28" s="83" t="str">
        <f>HorarioGeneral!K22</f>
        <v>Tutoría - XITLALI</v>
      </c>
      <c r="E28" s="83" t="str">
        <f>HorarioGeneral!K30</f>
        <v>Educ. Física II - MACEDONIO</v>
      </c>
      <c r="F28" s="84" t="str">
        <f>HorarioGeneral!K38</f>
        <v>Ciencias II - CARLOS</v>
      </c>
    </row>
    <row r="29" spans="1:6" ht="20" customHeight="1" x14ac:dyDescent="0.2">
      <c r="A29" s="70" t="s">
        <v>194</v>
      </c>
      <c r="B29" s="82" t="str">
        <f>HorarioGeneral!K7</f>
        <v>Educ. Física II - MACEDONIO</v>
      </c>
      <c r="C29" s="83" t="str">
        <f>HorarioGeneral!K15</f>
        <v>Español II - RAUL</v>
      </c>
      <c r="D29" s="83" t="str">
        <f>HorarioGeneral!K23</f>
        <v>Español II - RAUL</v>
      </c>
      <c r="E29" s="83" t="str">
        <f>HorarioGeneral!K31</f>
        <v>Matemáticas II - MANUEL</v>
      </c>
      <c r="F29" s="84" t="str">
        <f>HorarioGeneral!K39</f>
        <v>Artes II - XITLALI</v>
      </c>
    </row>
    <row r="30" spans="1:6" ht="20" customHeight="1" x14ac:dyDescent="0.2">
      <c r="A30" s="70" t="s">
        <v>193</v>
      </c>
      <c r="B30" s="82" t="str">
        <f>HorarioGeneral!K8</f>
        <v>Historia II - PATRICIA</v>
      </c>
      <c r="C30" s="83" t="str">
        <f>HorarioGeneral!K16</f>
        <v>FCE II - LORENA</v>
      </c>
      <c r="D30" s="83" t="str">
        <f>HorarioGeneral!K24</f>
        <v>Español II - RAUL</v>
      </c>
      <c r="E30" s="83" t="str">
        <f>HorarioGeneral!K32</f>
        <v>Historia II - PATRICIA</v>
      </c>
      <c r="F30" s="84" t="str">
        <f>HorarioGeneral!K40</f>
        <v>Artes II - XITLALI</v>
      </c>
    </row>
    <row r="31" spans="1:6" ht="20" customHeight="1" x14ac:dyDescent="0.2">
      <c r="A31" s="70" t="s">
        <v>192</v>
      </c>
      <c r="B31" s="498" t="s">
        <v>228</v>
      </c>
      <c r="C31" s="499"/>
      <c r="D31" s="499"/>
      <c r="E31" s="499"/>
      <c r="F31" s="500"/>
    </row>
    <row r="32" spans="1:6" ht="20" customHeight="1" x14ac:dyDescent="0.2">
      <c r="A32" s="70" t="s">
        <v>190</v>
      </c>
      <c r="B32" s="82" t="str">
        <f>HorarioGeneral!K9</f>
        <v>FCE II - LORENA</v>
      </c>
      <c r="C32" s="83" t="str">
        <f>HorarioGeneral!K17</f>
        <v>Inglés II - GUSTAVO</v>
      </c>
      <c r="D32" s="83" t="str">
        <f>HorarioGeneral!K25</f>
        <v>Tecnología - ABRAHAM</v>
      </c>
      <c r="E32" s="83" t="str">
        <f>HorarioGeneral!K33</f>
        <v>Ciencias II - CARLOS</v>
      </c>
      <c r="F32" s="84" t="str">
        <f>HorarioGeneral!K41</f>
        <v>Tecnología - ABRAHAM</v>
      </c>
    </row>
    <row r="33" spans="1:6" ht="20" customHeight="1" x14ac:dyDescent="0.2">
      <c r="A33" s="70" t="s">
        <v>189</v>
      </c>
      <c r="B33" s="82" t="str">
        <f>HorarioGeneral!K10</f>
        <v>A. Curricular - ABRAHAM</v>
      </c>
      <c r="C33" s="83" t="str">
        <f>HorarioGeneral!K18</f>
        <v>Historia II - PATRICIA</v>
      </c>
      <c r="D33" s="83" t="str">
        <f>HorarioGeneral!K26</f>
        <v>Tecnología - ABRAHAM</v>
      </c>
      <c r="E33" s="83" t="str">
        <f>HorarioGeneral!K34</f>
        <v>Tecnología - ABRAHAM</v>
      </c>
      <c r="F33" s="84" t="str">
        <f>HorarioGeneral!K42</f>
        <v>Tecnología - ABRAHAM</v>
      </c>
    </row>
    <row r="34" spans="1:6" ht="20" customHeight="1" thickBot="1" x14ac:dyDescent="0.25">
      <c r="A34" s="92" t="s">
        <v>244</v>
      </c>
      <c r="B34" s="93" t="str">
        <f>HorarioGeneral!K11</f>
        <v>Tecnología - ABRAHAM</v>
      </c>
      <c r="C34" s="94" t="str">
        <f>HorarioGeneral!K19</f>
        <v>Historia II - PATRICIA</v>
      </c>
      <c r="D34" s="94" t="str">
        <f>HorarioGeneral!K27</f>
        <v>Artes II - XITLALI</v>
      </c>
      <c r="E34" s="94" t="str">
        <f>HorarioGeneral!K35</f>
        <v>Tecnología - ABRAHAM</v>
      </c>
      <c r="F34" s="95" t="str">
        <f>HorarioGeneral!K43</f>
        <v>Tecnología - ABRAHAM</v>
      </c>
    </row>
    <row r="39" spans="1:6" ht="16" thickBot="1" x14ac:dyDescent="0.25">
      <c r="A39" s="501" t="s">
        <v>243</v>
      </c>
      <c r="B39" s="501"/>
      <c r="C39" s="501"/>
      <c r="D39" s="501"/>
      <c r="E39" s="501"/>
      <c r="F39" s="501"/>
    </row>
    <row r="40" spans="1:6" ht="20" customHeight="1" x14ac:dyDescent="0.2">
      <c r="A40" s="69" t="s">
        <v>205</v>
      </c>
      <c r="B40" s="72" t="s">
        <v>204</v>
      </c>
      <c r="C40" s="73" t="s">
        <v>203</v>
      </c>
      <c r="D40" s="73" t="s">
        <v>202</v>
      </c>
      <c r="E40" s="73" t="s">
        <v>201</v>
      </c>
      <c r="F40" s="74" t="s">
        <v>200</v>
      </c>
    </row>
    <row r="41" spans="1:6" ht="20" customHeight="1" x14ac:dyDescent="0.2">
      <c r="A41" s="70" t="s">
        <v>199</v>
      </c>
      <c r="B41" s="82">
        <f>HorarioGeneral!L4</f>
        <v>0</v>
      </c>
      <c r="C41" s="82">
        <f>HorarioGeneral!L12</f>
        <v>0</v>
      </c>
      <c r="D41" s="83">
        <f>HorarioGeneral!L20</f>
        <v>0</v>
      </c>
      <c r="E41" s="83">
        <f>HorarioGeneral!L28</f>
        <v>0</v>
      </c>
      <c r="F41" s="84">
        <f>HorarioGeneral!L36</f>
        <v>0</v>
      </c>
    </row>
    <row r="42" spans="1:6" ht="20" customHeight="1" x14ac:dyDescent="0.2">
      <c r="A42" s="70" t="s">
        <v>198</v>
      </c>
      <c r="B42" s="82">
        <f>HorarioGeneral!L5</f>
        <v>0</v>
      </c>
      <c r="C42" s="83">
        <f>HorarioGeneral!L13</f>
        <v>0</v>
      </c>
      <c r="D42" s="83">
        <f>HorarioGeneral!L21</f>
        <v>0</v>
      </c>
      <c r="E42" s="83">
        <f>HorarioGeneral!L29</f>
        <v>0</v>
      </c>
      <c r="F42" s="84">
        <f>HorarioGeneral!L37</f>
        <v>0</v>
      </c>
    </row>
    <row r="43" spans="1:6" ht="20" customHeight="1" x14ac:dyDescent="0.2">
      <c r="A43" s="70" t="s">
        <v>197</v>
      </c>
      <c r="B43" s="498" t="s">
        <v>227</v>
      </c>
      <c r="C43" s="499"/>
      <c r="D43" s="499"/>
      <c r="E43" s="499"/>
      <c r="F43" s="500"/>
    </row>
    <row r="44" spans="1:6" ht="20" customHeight="1" x14ac:dyDescent="0.2">
      <c r="A44" s="70" t="s">
        <v>195</v>
      </c>
      <c r="B44" s="82">
        <f>HorarioGeneral!L6</f>
        <v>0</v>
      </c>
      <c r="C44" s="83">
        <f>HorarioGeneral!L14</f>
        <v>0</v>
      </c>
      <c r="D44" s="83">
        <f>HorarioGeneral!L22</f>
        <v>0</v>
      </c>
      <c r="E44" s="83">
        <f>HorarioGeneral!L30</f>
        <v>0</v>
      </c>
      <c r="F44" s="84">
        <f>HorarioGeneral!L38</f>
        <v>0</v>
      </c>
    </row>
    <row r="45" spans="1:6" ht="20" customHeight="1" x14ac:dyDescent="0.2">
      <c r="A45" s="70" t="s">
        <v>194</v>
      </c>
      <c r="B45" s="82">
        <f>HorarioGeneral!L7</f>
        <v>0</v>
      </c>
      <c r="C45" s="83">
        <f>HorarioGeneral!L15</f>
        <v>0</v>
      </c>
      <c r="D45" s="83">
        <f>HorarioGeneral!L23</f>
        <v>0</v>
      </c>
      <c r="E45" s="83">
        <f>HorarioGeneral!L31</f>
        <v>0</v>
      </c>
      <c r="F45" s="84">
        <f>HorarioGeneral!L39</f>
        <v>0</v>
      </c>
    </row>
    <row r="46" spans="1:6" ht="20" customHeight="1" x14ac:dyDescent="0.2">
      <c r="A46" s="70" t="s">
        <v>193</v>
      </c>
      <c r="B46" s="82">
        <f>HorarioGeneral!L8</f>
        <v>0</v>
      </c>
      <c r="C46" s="83">
        <f>HorarioGeneral!L16</f>
        <v>0</v>
      </c>
      <c r="D46" s="83">
        <f>HorarioGeneral!L24</f>
        <v>0</v>
      </c>
      <c r="E46" s="83">
        <f>HorarioGeneral!L32</f>
        <v>0</v>
      </c>
      <c r="F46" s="84">
        <f>HorarioGeneral!L40</f>
        <v>0</v>
      </c>
    </row>
    <row r="47" spans="1:6" ht="20" customHeight="1" x14ac:dyDescent="0.2">
      <c r="A47" s="70" t="s">
        <v>192</v>
      </c>
      <c r="B47" s="498" t="s">
        <v>228</v>
      </c>
      <c r="C47" s="499"/>
      <c r="D47" s="499"/>
      <c r="E47" s="499"/>
      <c r="F47" s="500"/>
    </row>
    <row r="48" spans="1:6" ht="20" customHeight="1" x14ac:dyDescent="0.2">
      <c r="A48" s="70" t="s">
        <v>190</v>
      </c>
      <c r="B48" s="82">
        <f>HorarioGeneral!L9</f>
        <v>0</v>
      </c>
      <c r="C48" s="83">
        <f>HorarioGeneral!L17</f>
        <v>0</v>
      </c>
      <c r="D48" s="83">
        <f>HorarioGeneral!L25</f>
        <v>0</v>
      </c>
      <c r="E48" s="83">
        <f>HorarioGeneral!L33</f>
        <v>0</v>
      </c>
      <c r="F48" s="84">
        <f>HorarioGeneral!L41</f>
        <v>0</v>
      </c>
    </row>
    <row r="49" spans="1:6" ht="20" customHeight="1" x14ac:dyDescent="0.2">
      <c r="A49" s="70" t="s">
        <v>189</v>
      </c>
      <c r="B49" s="82">
        <f>HorarioGeneral!L10</f>
        <v>0</v>
      </c>
      <c r="C49" s="83">
        <f>HorarioGeneral!L18</f>
        <v>0</v>
      </c>
      <c r="D49" s="83">
        <f>HorarioGeneral!L26</f>
        <v>0</v>
      </c>
      <c r="E49" s="83">
        <f>HorarioGeneral!L34</f>
        <v>0</v>
      </c>
      <c r="F49" s="84">
        <f>HorarioGeneral!L42</f>
        <v>0</v>
      </c>
    </row>
    <row r="50" spans="1:6" ht="20" customHeight="1" thickBot="1" x14ac:dyDescent="0.25">
      <c r="A50" s="92" t="s">
        <v>244</v>
      </c>
      <c r="B50" s="93">
        <f>HorarioGeneral!L11</f>
        <v>0</v>
      </c>
      <c r="C50" s="94">
        <f>HorarioGeneral!L19</f>
        <v>0</v>
      </c>
      <c r="D50" s="94">
        <f>HorarioGeneral!L27</f>
        <v>0</v>
      </c>
      <c r="E50" s="94">
        <f>HorarioGeneral!L35</f>
        <v>0</v>
      </c>
      <c r="F50" s="95">
        <f>HorarioGeneral!L43</f>
        <v>0</v>
      </c>
    </row>
    <row r="54" spans="1:6" ht="16" thickBot="1" x14ac:dyDescent="0.25">
      <c r="A54" s="501" t="s">
        <v>278</v>
      </c>
      <c r="B54" s="501"/>
      <c r="C54" s="501"/>
      <c r="D54" s="501"/>
      <c r="E54" s="501"/>
      <c r="F54" s="501"/>
    </row>
    <row r="55" spans="1:6" ht="20" customHeight="1" x14ac:dyDescent="0.2">
      <c r="A55" s="69" t="s">
        <v>205</v>
      </c>
      <c r="B55" s="72" t="s">
        <v>204</v>
      </c>
      <c r="C55" s="73" t="s">
        <v>203</v>
      </c>
      <c r="D55" s="73" t="s">
        <v>202</v>
      </c>
      <c r="E55" s="73" t="s">
        <v>201</v>
      </c>
      <c r="F55" s="74" t="s">
        <v>200</v>
      </c>
    </row>
    <row r="56" spans="1:6" ht="20" customHeight="1" x14ac:dyDescent="0.2">
      <c r="A56" s="70" t="s">
        <v>199</v>
      </c>
      <c r="B56" s="82"/>
      <c r="C56" s="82"/>
      <c r="D56" s="83"/>
      <c r="E56" s="83"/>
      <c r="F56" s="84"/>
    </row>
    <row r="57" spans="1:6" ht="20" customHeight="1" x14ac:dyDescent="0.2">
      <c r="A57" s="70" t="s">
        <v>198</v>
      </c>
      <c r="B57" s="82"/>
      <c r="C57" s="83"/>
      <c r="D57" s="83"/>
      <c r="E57" s="83"/>
      <c r="F57" s="84"/>
    </row>
    <row r="58" spans="1:6" ht="20" customHeight="1" x14ac:dyDescent="0.2">
      <c r="A58" s="70" t="s">
        <v>197</v>
      </c>
      <c r="B58" s="498" t="s">
        <v>227</v>
      </c>
      <c r="C58" s="499"/>
      <c r="D58" s="499"/>
      <c r="E58" s="499"/>
      <c r="F58" s="500"/>
    </row>
    <row r="59" spans="1:6" ht="20" customHeight="1" x14ac:dyDescent="0.2">
      <c r="A59" s="70" t="s">
        <v>195</v>
      </c>
      <c r="B59" s="82"/>
      <c r="C59" s="83"/>
      <c r="D59" s="83"/>
      <c r="E59" s="83"/>
      <c r="F59" s="84"/>
    </row>
    <row r="60" spans="1:6" ht="20" customHeight="1" x14ac:dyDescent="0.2">
      <c r="A60" s="70" t="s">
        <v>194</v>
      </c>
      <c r="B60" s="82"/>
      <c r="C60" s="83"/>
      <c r="D60" s="83"/>
      <c r="E60" s="83"/>
      <c r="F60" s="84"/>
    </row>
    <row r="61" spans="1:6" ht="20" customHeight="1" x14ac:dyDescent="0.2">
      <c r="A61" s="70" t="s">
        <v>193</v>
      </c>
      <c r="B61" s="82"/>
      <c r="C61" s="83"/>
      <c r="D61" s="83"/>
      <c r="E61" s="83"/>
      <c r="F61" s="84"/>
    </row>
    <row r="62" spans="1:6" ht="20" customHeight="1" x14ac:dyDescent="0.2">
      <c r="A62" s="70" t="s">
        <v>192</v>
      </c>
      <c r="B62" s="498" t="s">
        <v>228</v>
      </c>
      <c r="C62" s="499"/>
      <c r="D62" s="499"/>
      <c r="E62" s="499"/>
      <c r="F62" s="500"/>
    </row>
    <row r="63" spans="1:6" ht="20" customHeight="1" x14ac:dyDescent="0.2">
      <c r="A63" s="70" t="s">
        <v>190</v>
      </c>
      <c r="B63" s="82"/>
      <c r="C63" s="83"/>
      <c r="D63" s="83"/>
      <c r="E63" s="83"/>
      <c r="F63" s="84"/>
    </row>
    <row r="64" spans="1:6" ht="20" customHeight="1" x14ac:dyDescent="0.2">
      <c r="A64" s="70" t="s">
        <v>189</v>
      </c>
      <c r="B64" s="82"/>
      <c r="C64" s="83"/>
      <c r="D64" s="83"/>
      <c r="E64" s="83"/>
      <c r="F64" s="84"/>
    </row>
    <row r="65" spans="1:6" ht="20" customHeight="1" thickBot="1" x14ac:dyDescent="0.25">
      <c r="A65" s="92" t="s">
        <v>244</v>
      </c>
      <c r="B65" s="93"/>
      <c r="C65" s="94"/>
      <c r="D65" s="94"/>
      <c r="E65" s="94"/>
      <c r="F65" s="95"/>
    </row>
    <row r="69" spans="1:6" ht="16" thickBot="1" x14ac:dyDescent="0.25">
      <c r="A69" s="501" t="s">
        <v>279</v>
      </c>
      <c r="B69" s="501"/>
      <c r="C69" s="501"/>
      <c r="D69" s="501"/>
      <c r="E69" s="501"/>
      <c r="F69" s="501"/>
    </row>
    <row r="70" spans="1:6" ht="20" customHeight="1" x14ac:dyDescent="0.2">
      <c r="A70" s="69" t="s">
        <v>205</v>
      </c>
      <c r="B70" s="72" t="s">
        <v>204</v>
      </c>
      <c r="C70" s="73" t="s">
        <v>203</v>
      </c>
      <c r="D70" s="73" t="s">
        <v>202</v>
      </c>
      <c r="E70" s="73" t="s">
        <v>201</v>
      </c>
      <c r="F70" s="74" t="s">
        <v>200</v>
      </c>
    </row>
    <row r="71" spans="1:6" ht="20" customHeight="1" x14ac:dyDescent="0.2">
      <c r="A71" s="70" t="s">
        <v>199</v>
      </c>
      <c r="B71" s="82"/>
      <c r="C71" s="82"/>
      <c r="D71" s="83"/>
      <c r="E71" s="83"/>
      <c r="F71" s="84"/>
    </row>
    <row r="72" spans="1:6" ht="20" customHeight="1" x14ac:dyDescent="0.2">
      <c r="A72" s="70" t="s">
        <v>198</v>
      </c>
      <c r="B72" s="82"/>
      <c r="C72" s="83"/>
      <c r="D72" s="83"/>
      <c r="E72" s="83"/>
      <c r="F72" s="84"/>
    </row>
    <row r="73" spans="1:6" ht="20" customHeight="1" x14ac:dyDescent="0.2">
      <c r="A73" s="70" t="s">
        <v>197</v>
      </c>
      <c r="B73" s="498" t="s">
        <v>227</v>
      </c>
      <c r="C73" s="499"/>
      <c r="D73" s="499"/>
      <c r="E73" s="499"/>
      <c r="F73" s="500"/>
    </row>
    <row r="74" spans="1:6" ht="20" customHeight="1" x14ac:dyDescent="0.2">
      <c r="A74" s="70" t="s">
        <v>195</v>
      </c>
      <c r="B74" s="82"/>
      <c r="C74" s="83"/>
      <c r="D74" s="83"/>
      <c r="E74" s="83"/>
      <c r="F74" s="84"/>
    </row>
    <row r="75" spans="1:6" ht="20" customHeight="1" x14ac:dyDescent="0.2">
      <c r="A75" s="70" t="s">
        <v>194</v>
      </c>
      <c r="B75" s="82"/>
      <c r="C75" s="83"/>
      <c r="D75" s="83"/>
      <c r="E75" s="83"/>
      <c r="F75" s="84"/>
    </row>
    <row r="76" spans="1:6" ht="20" customHeight="1" x14ac:dyDescent="0.2">
      <c r="A76" s="70" t="s">
        <v>193</v>
      </c>
      <c r="B76" s="82"/>
      <c r="C76" s="83"/>
      <c r="D76" s="83"/>
      <c r="E76" s="83"/>
      <c r="F76" s="84"/>
    </row>
    <row r="77" spans="1:6" ht="20" customHeight="1" x14ac:dyDescent="0.2">
      <c r="A77" s="70" t="s">
        <v>192</v>
      </c>
      <c r="B77" s="498" t="s">
        <v>228</v>
      </c>
      <c r="C77" s="499"/>
      <c r="D77" s="499"/>
      <c r="E77" s="499"/>
      <c r="F77" s="500"/>
    </row>
    <row r="78" spans="1:6" ht="20" customHeight="1" x14ac:dyDescent="0.2">
      <c r="A78" s="70" t="s">
        <v>190</v>
      </c>
      <c r="B78" s="82"/>
      <c r="C78" s="83"/>
      <c r="D78" s="83"/>
      <c r="E78" s="83"/>
      <c r="F78" s="84"/>
    </row>
    <row r="79" spans="1:6" ht="20" customHeight="1" x14ac:dyDescent="0.2">
      <c r="A79" s="70" t="s">
        <v>189</v>
      </c>
      <c r="B79" s="82"/>
      <c r="C79" s="83"/>
      <c r="D79" s="83"/>
      <c r="E79" s="83"/>
      <c r="F79" s="84"/>
    </row>
    <row r="80" spans="1:6" ht="20" customHeight="1" thickBot="1" x14ac:dyDescent="0.25">
      <c r="A80" s="92" t="s">
        <v>244</v>
      </c>
      <c r="B80" s="93"/>
      <c r="C80" s="94"/>
      <c r="D80" s="94"/>
      <c r="E80" s="94"/>
      <c r="F80" s="95"/>
    </row>
    <row r="84" spans="1:6" ht="16" thickBot="1" x14ac:dyDescent="0.25">
      <c r="A84" s="501" t="s">
        <v>280</v>
      </c>
      <c r="B84" s="501"/>
      <c r="C84" s="501"/>
      <c r="D84" s="501"/>
      <c r="E84" s="501"/>
      <c r="F84" s="501"/>
    </row>
    <row r="85" spans="1:6" ht="20" customHeight="1" x14ac:dyDescent="0.2">
      <c r="A85" s="69" t="s">
        <v>205</v>
      </c>
      <c r="B85" s="72" t="s">
        <v>204</v>
      </c>
      <c r="C85" s="73" t="s">
        <v>203</v>
      </c>
      <c r="D85" s="73" t="s">
        <v>202</v>
      </c>
      <c r="E85" s="73" t="s">
        <v>201</v>
      </c>
      <c r="F85" s="74" t="s">
        <v>200</v>
      </c>
    </row>
    <row r="86" spans="1:6" ht="20" customHeight="1" x14ac:dyDescent="0.2">
      <c r="A86" s="70" t="s">
        <v>199</v>
      </c>
      <c r="B86" s="82"/>
      <c r="C86" s="82"/>
      <c r="D86" s="83"/>
      <c r="E86" s="83"/>
      <c r="F86" s="84"/>
    </row>
    <row r="87" spans="1:6" ht="20" customHeight="1" x14ac:dyDescent="0.2">
      <c r="A87" s="70" t="s">
        <v>198</v>
      </c>
      <c r="B87" s="82"/>
      <c r="C87" s="83"/>
      <c r="D87" s="83"/>
      <c r="E87" s="83"/>
      <c r="F87" s="84"/>
    </row>
    <row r="88" spans="1:6" ht="20" customHeight="1" x14ac:dyDescent="0.2">
      <c r="A88" s="70" t="s">
        <v>197</v>
      </c>
      <c r="B88" s="498" t="s">
        <v>227</v>
      </c>
      <c r="C88" s="499"/>
      <c r="D88" s="499"/>
      <c r="E88" s="499"/>
      <c r="F88" s="500"/>
    </row>
    <row r="89" spans="1:6" ht="20" customHeight="1" x14ac:dyDescent="0.2">
      <c r="A89" s="70" t="s">
        <v>195</v>
      </c>
      <c r="B89" s="82"/>
      <c r="C89" s="83"/>
      <c r="D89" s="83"/>
      <c r="E89" s="83"/>
      <c r="F89" s="84"/>
    </row>
    <row r="90" spans="1:6" ht="20" customHeight="1" x14ac:dyDescent="0.2">
      <c r="A90" s="70" t="s">
        <v>194</v>
      </c>
      <c r="B90" s="82"/>
      <c r="C90" s="83"/>
      <c r="D90" s="83"/>
      <c r="E90" s="83"/>
      <c r="F90" s="84"/>
    </row>
    <row r="91" spans="1:6" ht="20" customHeight="1" x14ac:dyDescent="0.2">
      <c r="A91" s="70" t="s">
        <v>193</v>
      </c>
      <c r="B91" s="82"/>
      <c r="C91" s="83"/>
      <c r="D91" s="83"/>
      <c r="E91" s="83"/>
      <c r="F91" s="84"/>
    </row>
    <row r="92" spans="1:6" ht="20" customHeight="1" x14ac:dyDescent="0.2">
      <c r="A92" s="70" t="s">
        <v>192</v>
      </c>
      <c r="B92" s="498" t="s">
        <v>228</v>
      </c>
      <c r="C92" s="499"/>
      <c r="D92" s="499"/>
      <c r="E92" s="499"/>
      <c r="F92" s="500"/>
    </row>
    <row r="93" spans="1:6" ht="20" customHeight="1" x14ac:dyDescent="0.2">
      <c r="A93" s="70" t="s">
        <v>190</v>
      </c>
      <c r="B93" s="82"/>
      <c r="C93" s="83"/>
      <c r="D93" s="83"/>
      <c r="E93" s="83"/>
      <c r="F93" s="84"/>
    </row>
    <row r="94" spans="1:6" ht="20" customHeight="1" x14ac:dyDescent="0.2">
      <c r="A94" s="70" t="s">
        <v>189</v>
      </c>
      <c r="B94" s="82"/>
      <c r="C94" s="83"/>
      <c r="D94" s="83"/>
      <c r="E94" s="83"/>
      <c r="F94" s="84"/>
    </row>
    <row r="95" spans="1:6" ht="20" customHeight="1" thickBot="1" x14ac:dyDescent="0.25">
      <c r="A95" s="92" t="s">
        <v>244</v>
      </c>
      <c r="B95" s="93"/>
      <c r="C95" s="94"/>
      <c r="D95" s="94"/>
      <c r="E95" s="94"/>
      <c r="F95" s="95"/>
    </row>
  </sheetData>
  <mergeCells count="23">
    <mergeCell ref="A8:F8"/>
    <mergeCell ref="A1:F1"/>
    <mergeCell ref="A2:F2"/>
    <mergeCell ref="A3:F3"/>
    <mergeCell ref="A5:F5"/>
    <mergeCell ref="A6:F6"/>
    <mergeCell ref="A39:F39"/>
    <mergeCell ref="B43:F43"/>
    <mergeCell ref="B47:F47"/>
    <mergeCell ref="B12:F12"/>
    <mergeCell ref="B16:F16"/>
    <mergeCell ref="A23:F23"/>
    <mergeCell ref="B27:F27"/>
    <mergeCell ref="B31:F31"/>
    <mergeCell ref="B77:F77"/>
    <mergeCell ref="A84:F84"/>
    <mergeCell ref="B88:F88"/>
    <mergeCell ref="B92:F92"/>
    <mergeCell ref="A54:F54"/>
    <mergeCell ref="B58:F58"/>
    <mergeCell ref="B62:F62"/>
    <mergeCell ref="A69:F69"/>
    <mergeCell ref="B73:F73"/>
  </mergeCells>
  <pageMargins left="0.7" right="0.7" top="0.75" bottom="0.75" header="0.3" footer="0.3"/>
  <pageSetup scale="86" orientation="landscape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">
    <pageSetUpPr fitToPage="1"/>
  </sheetPr>
  <dimension ref="A1:F92"/>
  <sheetViews>
    <sheetView zoomScale="120" zoomScaleNormal="120" workbookViewId="0">
      <selection sqref="A1:F1"/>
    </sheetView>
  </sheetViews>
  <sheetFormatPr baseColWidth="10" defaultRowHeight="15" x14ac:dyDescent="0.2"/>
  <cols>
    <col min="1" max="1" width="15.6640625" customWidth="1"/>
    <col min="2" max="6" width="25.6640625" customWidth="1"/>
  </cols>
  <sheetData>
    <row r="1" spans="1:6" x14ac:dyDescent="0.2">
      <c r="A1" s="501" t="s">
        <v>248</v>
      </c>
      <c r="B1" s="501"/>
      <c r="C1" s="501"/>
      <c r="D1" s="501"/>
      <c r="E1" s="501"/>
      <c r="F1" s="501"/>
    </row>
    <row r="2" spans="1:6" x14ac:dyDescent="0.2">
      <c r="A2" s="501" t="s">
        <v>249</v>
      </c>
      <c r="B2" s="501"/>
      <c r="C2" s="501"/>
      <c r="D2" s="501"/>
      <c r="E2" s="501"/>
      <c r="F2" s="501"/>
    </row>
    <row r="3" spans="1:6" x14ac:dyDescent="0.2">
      <c r="A3" s="501" t="s">
        <v>246</v>
      </c>
      <c r="B3" s="501"/>
      <c r="C3" s="501"/>
      <c r="D3" s="501"/>
      <c r="E3" s="501"/>
      <c r="F3" s="501"/>
    </row>
    <row r="4" spans="1:6" x14ac:dyDescent="0.2">
      <c r="A4" s="98"/>
      <c r="B4" s="98"/>
      <c r="C4" s="98"/>
      <c r="D4" s="98"/>
      <c r="E4" s="98"/>
      <c r="F4" s="98"/>
    </row>
    <row r="5" spans="1:6" x14ac:dyDescent="0.2">
      <c r="A5" s="501" t="s">
        <v>247</v>
      </c>
      <c r="B5" s="501"/>
      <c r="C5" s="501"/>
      <c r="D5" s="501"/>
      <c r="E5" s="501"/>
      <c r="F5" s="501"/>
    </row>
    <row r="6" spans="1:6" x14ac:dyDescent="0.2">
      <c r="A6" s="501" t="s">
        <v>207</v>
      </c>
      <c r="B6" s="501"/>
      <c r="C6" s="501"/>
      <c r="D6" s="501"/>
      <c r="E6" s="501"/>
      <c r="F6" s="501"/>
    </row>
    <row r="8" spans="1:6" ht="16" thickBot="1" x14ac:dyDescent="0.25">
      <c r="A8" s="501" t="s">
        <v>239</v>
      </c>
      <c r="B8" s="501"/>
      <c r="C8" s="501"/>
      <c r="D8" s="501"/>
      <c r="E8" s="501"/>
      <c r="F8" s="501"/>
    </row>
    <row r="9" spans="1:6" ht="20" customHeight="1" x14ac:dyDescent="0.2">
      <c r="A9" s="69" t="s">
        <v>205</v>
      </c>
      <c r="B9" s="72" t="s">
        <v>204</v>
      </c>
      <c r="C9" s="73" t="s">
        <v>203</v>
      </c>
      <c r="D9" s="73" t="s">
        <v>202</v>
      </c>
      <c r="E9" s="73" t="s">
        <v>201</v>
      </c>
      <c r="F9" s="74" t="s">
        <v>200</v>
      </c>
    </row>
    <row r="10" spans="1:6" ht="20" customHeight="1" x14ac:dyDescent="0.2">
      <c r="A10" s="70" t="s">
        <v>199</v>
      </c>
      <c r="B10" s="82" t="str">
        <f>HorarioGeneral!P4</f>
        <v>Español III - SANDRA</v>
      </c>
      <c r="C10" s="83" t="str">
        <f>HorarioGeneral!P12</f>
        <v>Español III - SANDRA</v>
      </c>
      <c r="D10" s="83" t="str">
        <f>HorarioGeneral!P20</f>
        <v>Español III - SANDRA</v>
      </c>
      <c r="E10" s="83" t="str">
        <f>HorarioGeneral!P28</f>
        <v>Español III - SANDRA</v>
      </c>
      <c r="F10" s="84" t="str">
        <f>HorarioGeneral!P36</f>
        <v>Español III - SANDRA</v>
      </c>
    </row>
    <row r="11" spans="1:6" ht="20" customHeight="1" x14ac:dyDescent="0.2">
      <c r="A11" s="70" t="s">
        <v>198</v>
      </c>
      <c r="B11" s="82" t="str">
        <f>HorarioGeneral!P5</f>
        <v>A. Curricular - ABRAHAM</v>
      </c>
      <c r="C11" s="83" t="str">
        <f>HorarioGeneral!P13</f>
        <v>Matemáticas III - MANUEL</v>
      </c>
      <c r="D11" s="83" t="str">
        <f>HorarioGeneral!P21</f>
        <v>Inglés III - GUSTAVO</v>
      </c>
      <c r="E11" s="83" t="str">
        <f>HorarioGeneral!P29</f>
        <v>Historia III - JOSE</v>
      </c>
      <c r="F11" s="84" t="str">
        <f>HorarioGeneral!P37</f>
        <v>Educ. Física III - MACEDONIO</v>
      </c>
    </row>
    <row r="12" spans="1:6" ht="20" customHeight="1" x14ac:dyDescent="0.2">
      <c r="A12" s="70" t="s">
        <v>197</v>
      </c>
      <c r="B12" s="498" t="s">
        <v>229</v>
      </c>
      <c r="C12" s="499"/>
      <c r="D12" s="499"/>
      <c r="E12" s="499"/>
      <c r="F12" s="500"/>
    </row>
    <row r="13" spans="1:6" ht="20" customHeight="1" x14ac:dyDescent="0.2">
      <c r="A13" s="70" t="s">
        <v>195</v>
      </c>
      <c r="B13" s="82" t="str">
        <f>HorarioGeneral!P6</f>
        <v>Matemáticas III - MANUEL</v>
      </c>
      <c r="C13" s="83" t="str">
        <f>HorarioGeneral!P14</f>
        <v>Inglés III - GUSTAVO</v>
      </c>
      <c r="D13" s="83" t="str">
        <f>HorarioGeneral!P22</f>
        <v>Tutoría - MELISSA</v>
      </c>
      <c r="E13" s="83" t="str">
        <f>HorarioGeneral!P30</f>
        <v>Matemáticas III - MANUEL</v>
      </c>
      <c r="F13" s="84" t="str">
        <f>HorarioGeneral!P38</f>
        <v>Matemáticas III - MANUEL</v>
      </c>
    </row>
    <row r="14" spans="1:6" ht="20" customHeight="1" x14ac:dyDescent="0.2">
      <c r="A14" s="70" t="s">
        <v>194</v>
      </c>
      <c r="B14" s="82" t="str">
        <f>HorarioGeneral!P7</f>
        <v>Inglés III - GUSTAVO</v>
      </c>
      <c r="C14" s="83" t="str">
        <f>HorarioGeneral!P15</f>
        <v>Ciencias III - CARLOS</v>
      </c>
      <c r="D14" s="83" t="str">
        <f>HorarioGeneral!P23</f>
        <v>Tecnología - ABRAHAM</v>
      </c>
      <c r="E14" s="83" t="str">
        <f>HorarioGeneral!P31</f>
        <v>Tecnología - ABRAHAM</v>
      </c>
      <c r="F14" s="84" t="str">
        <f>HorarioGeneral!P39</f>
        <v>Tecnología - ABRAHAM</v>
      </c>
    </row>
    <row r="15" spans="1:6" ht="20" customHeight="1" x14ac:dyDescent="0.2">
      <c r="A15" s="70" t="s">
        <v>193</v>
      </c>
      <c r="B15" s="82" t="str">
        <f>HorarioGeneral!P8</f>
        <v>Tecnología - ABRAHAM</v>
      </c>
      <c r="C15" s="83" t="str">
        <f>HorarioGeneral!P16</f>
        <v>Historia III - JOSE</v>
      </c>
      <c r="D15" s="83" t="str">
        <f>HorarioGeneral!P24</f>
        <v>Tecnología - ABRAHAM</v>
      </c>
      <c r="E15" s="83" t="str">
        <f>HorarioGeneral!P32</f>
        <v>Tecnología - ABRAHAM</v>
      </c>
      <c r="F15" s="84" t="str">
        <f>HorarioGeneral!P40</f>
        <v>Historia III - JOSE</v>
      </c>
    </row>
    <row r="16" spans="1:6" ht="20" customHeight="1" x14ac:dyDescent="0.2">
      <c r="A16" s="70" t="s">
        <v>192</v>
      </c>
      <c r="B16" s="498" t="s">
        <v>191</v>
      </c>
      <c r="C16" s="499"/>
      <c r="D16" s="499"/>
      <c r="E16" s="499"/>
      <c r="F16" s="500"/>
    </row>
    <row r="17" spans="1:6" ht="20" customHeight="1" x14ac:dyDescent="0.2">
      <c r="A17" s="70" t="s">
        <v>190</v>
      </c>
      <c r="B17" s="82" t="str">
        <f>HorarioGeneral!P9</f>
        <v>Tecnología - ABRAHAM</v>
      </c>
      <c r="C17" s="83" t="str">
        <f>HorarioGeneral!P17</f>
        <v>Educ. Física III - MACEDONIO</v>
      </c>
      <c r="D17" s="83" t="str">
        <f>HorarioGeneral!P25</f>
        <v>Matemáticas III - MANUEL</v>
      </c>
      <c r="E17" s="83" t="str">
        <f>HorarioGeneral!P33</f>
        <v>Tecnología - ABRAHAM</v>
      </c>
      <c r="F17" s="84" t="str">
        <f>HorarioGeneral!P41</f>
        <v>Artes III - JOSE</v>
      </c>
    </row>
    <row r="18" spans="1:6" ht="20" customHeight="1" thickBot="1" x14ac:dyDescent="0.25">
      <c r="A18" s="71" t="s">
        <v>189</v>
      </c>
      <c r="B18" s="85" t="str">
        <f>HorarioGeneral!P10</f>
        <v>Ciencias III - CARLOS</v>
      </c>
      <c r="C18" s="86" t="str">
        <f>HorarioGeneral!P18</f>
        <v>FCE III - MELISSA</v>
      </c>
      <c r="D18" s="86" t="str">
        <f>HorarioGeneral!P26</f>
        <v>FCE III - MELISSA</v>
      </c>
      <c r="E18" s="86" t="str">
        <f>HorarioGeneral!P34</f>
        <v>Artes III - JOSE</v>
      </c>
      <c r="F18" s="87" t="str">
        <f>HorarioGeneral!P42</f>
        <v>Ciencias III - CARLOS</v>
      </c>
    </row>
    <row r="22" spans="1:6" ht="16" thickBot="1" x14ac:dyDescent="0.25">
      <c r="A22" s="501" t="s">
        <v>240</v>
      </c>
      <c r="B22" s="501"/>
      <c r="C22" s="501"/>
      <c r="D22" s="501"/>
      <c r="E22" s="501"/>
      <c r="F22" s="501"/>
    </row>
    <row r="23" spans="1:6" ht="20" customHeight="1" x14ac:dyDescent="0.2">
      <c r="A23" s="69" t="s">
        <v>205</v>
      </c>
      <c r="B23" s="72" t="s">
        <v>204</v>
      </c>
      <c r="C23" s="73" t="s">
        <v>203</v>
      </c>
      <c r="D23" s="73" t="s">
        <v>202</v>
      </c>
      <c r="E23" s="73" t="s">
        <v>201</v>
      </c>
      <c r="F23" s="74" t="s">
        <v>200</v>
      </c>
    </row>
    <row r="24" spans="1:6" ht="20" customHeight="1" x14ac:dyDescent="0.2">
      <c r="A24" s="70" t="s">
        <v>199</v>
      </c>
      <c r="B24" s="82">
        <f>HorarioGeneral!U4</f>
        <v>0</v>
      </c>
      <c r="C24" s="83">
        <f>HorarioGeneral!U12</f>
        <v>0</v>
      </c>
      <c r="D24" s="83">
        <f>HorarioGeneral!U20</f>
        <v>0</v>
      </c>
      <c r="E24" s="83">
        <f>HorarioGeneral!U28</f>
        <v>0</v>
      </c>
      <c r="F24" s="84">
        <f>HorarioGeneral!U36</f>
        <v>0</v>
      </c>
    </row>
    <row r="25" spans="1:6" ht="20" customHeight="1" x14ac:dyDescent="0.2">
      <c r="A25" s="70" t="s">
        <v>198</v>
      </c>
      <c r="B25" s="82">
        <f>HorarioGeneral!U5</f>
        <v>0</v>
      </c>
      <c r="C25" s="83">
        <f>HorarioGeneral!U13</f>
        <v>0</v>
      </c>
      <c r="D25" s="83">
        <f>HorarioGeneral!U21</f>
        <v>0</v>
      </c>
      <c r="E25" s="83">
        <f>HorarioGeneral!U29</f>
        <v>0</v>
      </c>
      <c r="F25" s="84">
        <f>HorarioGeneral!U37</f>
        <v>0</v>
      </c>
    </row>
    <row r="26" spans="1:6" ht="20" customHeight="1" x14ac:dyDescent="0.2">
      <c r="A26" s="70" t="s">
        <v>197</v>
      </c>
      <c r="B26" s="498" t="s">
        <v>230</v>
      </c>
      <c r="C26" s="499"/>
      <c r="D26" s="499"/>
      <c r="E26" s="499"/>
      <c r="F26" s="500"/>
    </row>
    <row r="27" spans="1:6" ht="20" customHeight="1" x14ac:dyDescent="0.2">
      <c r="A27" s="70" t="s">
        <v>195</v>
      </c>
      <c r="B27" s="82">
        <f>HorarioGeneral!U6</f>
        <v>0</v>
      </c>
      <c r="C27" s="83">
        <f>HorarioGeneral!U14</f>
        <v>0</v>
      </c>
      <c r="D27" s="83">
        <f>HorarioGeneral!U22</f>
        <v>0</v>
      </c>
      <c r="E27" s="83">
        <f>HorarioGeneral!U30</f>
        <v>0</v>
      </c>
      <c r="F27" s="84">
        <f>HorarioGeneral!U38</f>
        <v>0</v>
      </c>
    </row>
    <row r="28" spans="1:6" ht="20" customHeight="1" x14ac:dyDescent="0.2">
      <c r="A28" s="70" t="s">
        <v>194</v>
      </c>
      <c r="B28" s="82">
        <f>HorarioGeneral!U7</f>
        <v>0</v>
      </c>
      <c r="C28" s="83">
        <f>HorarioGeneral!U15</f>
        <v>0</v>
      </c>
      <c r="D28" s="83">
        <f>HorarioGeneral!U23</f>
        <v>0</v>
      </c>
      <c r="E28" s="83">
        <f>HorarioGeneral!U31</f>
        <v>0</v>
      </c>
      <c r="F28" s="84">
        <f>HorarioGeneral!U39</f>
        <v>0</v>
      </c>
    </row>
    <row r="29" spans="1:6" ht="20" customHeight="1" x14ac:dyDescent="0.2">
      <c r="A29" s="70" t="s">
        <v>193</v>
      </c>
      <c r="B29" s="82">
        <f>HorarioGeneral!U8</f>
        <v>0</v>
      </c>
      <c r="C29" s="83">
        <f>HorarioGeneral!U16</f>
        <v>0</v>
      </c>
      <c r="D29" s="83">
        <f>HorarioGeneral!U24</f>
        <v>0</v>
      </c>
      <c r="E29" s="83">
        <f>HorarioGeneral!U32</f>
        <v>0</v>
      </c>
      <c r="F29" s="84">
        <f>HorarioGeneral!U40</f>
        <v>0</v>
      </c>
    </row>
    <row r="30" spans="1:6" ht="20" customHeight="1" x14ac:dyDescent="0.2">
      <c r="A30" s="70" t="s">
        <v>192</v>
      </c>
      <c r="B30" s="498" t="s">
        <v>231</v>
      </c>
      <c r="C30" s="499"/>
      <c r="D30" s="499"/>
      <c r="E30" s="499"/>
      <c r="F30" s="500"/>
    </row>
    <row r="31" spans="1:6" ht="20" customHeight="1" x14ac:dyDescent="0.2">
      <c r="A31" s="70" t="s">
        <v>190</v>
      </c>
      <c r="B31" s="82">
        <f>HorarioGeneral!U9</f>
        <v>0</v>
      </c>
      <c r="C31" s="83">
        <f>HorarioGeneral!U17</f>
        <v>0</v>
      </c>
      <c r="D31" s="83">
        <f>HorarioGeneral!U25</f>
        <v>0</v>
      </c>
      <c r="E31" s="83">
        <f>HorarioGeneral!U33</f>
        <v>0</v>
      </c>
      <c r="F31" s="84">
        <f>HorarioGeneral!U41</f>
        <v>0</v>
      </c>
    </row>
    <row r="32" spans="1:6" ht="20" customHeight="1" thickBot="1" x14ac:dyDescent="0.25">
      <c r="A32" s="71" t="s">
        <v>189</v>
      </c>
      <c r="B32" s="85">
        <f>HorarioGeneral!U10</f>
        <v>0</v>
      </c>
      <c r="C32" s="86">
        <f>HorarioGeneral!U18</f>
        <v>0</v>
      </c>
      <c r="D32" s="86">
        <f>HorarioGeneral!U26</f>
        <v>0</v>
      </c>
      <c r="E32" s="86">
        <f>HorarioGeneral!U34</f>
        <v>0</v>
      </c>
      <c r="F32" s="87">
        <f>HorarioGeneral!U42</f>
        <v>0</v>
      </c>
    </row>
    <row r="36" spans="1:6" ht="16" thickBot="1" x14ac:dyDescent="0.25">
      <c r="A36" s="501" t="s">
        <v>281</v>
      </c>
      <c r="B36" s="501"/>
      <c r="C36" s="501"/>
      <c r="D36" s="501"/>
      <c r="E36" s="501"/>
      <c r="F36" s="501"/>
    </row>
    <row r="37" spans="1:6" x14ac:dyDescent="0.2">
      <c r="A37" s="69" t="s">
        <v>205</v>
      </c>
      <c r="B37" s="72" t="s">
        <v>204</v>
      </c>
      <c r="C37" s="73" t="s">
        <v>203</v>
      </c>
      <c r="D37" s="73" t="s">
        <v>202</v>
      </c>
      <c r="E37" s="73" t="s">
        <v>201</v>
      </c>
      <c r="F37" s="74" t="s">
        <v>200</v>
      </c>
    </row>
    <row r="38" spans="1:6" ht="19" x14ac:dyDescent="0.2">
      <c r="A38" s="70" t="s">
        <v>199</v>
      </c>
      <c r="B38" s="82"/>
      <c r="C38" s="83"/>
      <c r="D38" s="83"/>
      <c r="E38" s="83"/>
      <c r="F38" s="84"/>
    </row>
    <row r="39" spans="1:6" ht="19" x14ac:dyDescent="0.2">
      <c r="A39" s="70" t="s">
        <v>198</v>
      </c>
      <c r="B39" s="82"/>
      <c r="C39" s="83"/>
      <c r="D39" s="83"/>
      <c r="E39" s="83"/>
      <c r="F39" s="84"/>
    </row>
    <row r="40" spans="1:6" x14ac:dyDescent="0.2">
      <c r="A40" s="70" t="s">
        <v>197</v>
      </c>
      <c r="B40" s="498" t="s">
        <v>196</v>
      </c>
      <c r="C40" s="499"/>
      <c r="D40" s="499"/>
      <c r="E40" s="499"/>
      <c r="F40" s="500"/>
    </row>
    <row r="41" spans="1:6" ht="19" x14ac:dyDescent="0.2">
      <c r="A41" s="70" t="s">
        <v>195</v>
      </c>
      <c r="B41" s="82"/>
      <c r="C41" s="83"/>
      <c r="D41" s="83"/>
      <c r="E41" s="83"/>
      <c r="F41" s="84"/>
    </row>
    <row r="42" spans="1:6" ht="19" x14ac:dyDescent="0.2">
      <c r="A42" s="70" t="s">
        <v>194</v>
      </c>
      <c r="B42" s="82"/>
      <c r="C42" s="83"/>
      <c r="D42" s="83"/>
      <c r="E42" s="83"/>
      <c r="F42" s="84"/>
    </row>
    <row r="43" spans="1:6" ht="19" x14ac:dyDescent="0.2">
      <c r="A43" s="70" t="s">
        <v>193</v>
      </c>
      <c r="B43" s="82"/>
      <c r="C43" s="83"/>
      <c r="D43" s="83"/>
      <c r="E43" s="83"/>
      <c r="F43" s="84"/>
    </row>
    <row r="44" spans="1:6" x14ac:dyDescent="0.2">
      <c r="A44" s="70" t="s">
        <v>192</v>
      </c>
      <c r="B44" s="498" t="s">
        <v>191</v>
      </c>
      <c r="C44" s="499"/>
      <c r="D44" s="499"/>
      <c r="E44" s="499"/>
      <c r="F44" s="500"/>
    </row>
    <row r="45" spans="1:6" ht="19" x14ac:dyDescent="0.2">
      <c r="A45" s="70" t="s">
        <v>190</v>
      </c>
      <c r="B45" s="82"/>
      <c r="C45" s="83"/>
      <c r="D45" s="83"/>
      <c r="E45" s="83"/>
      <c r="F45" s="84"/>
    </row>
    <row r="46" spans="1:6" ht="19" x14ac:dyDescent="0.2">
      <c r="A46" s="70" t="s">
        <v>189</v>
      </c>
      <c r="B46" s="82"/>
      <c r="C46" s="83"/>
      <c r="D46" s="83"/>
      <c r="E46" s="83"/>
      <c r="F46" s="84"/>
    </row>
    <row r="47" spans="1:6" ht="20" thickBot="1" x14ac:dyDescent="0.25">
      <c r="A47" s="92" t="s">
        <v>244</v>
      </c>
      <c r="B47" s="93"/>
      <c r="C47" s="94"/>
      <c r="D47" s="94"/>
      <c r="E47" s="94"/>
      <c r="F47" s="95"/>
    </row>
    <row r="51" spans="1:6" ht="16" thickBot="1" x14ac:dyDescent="0.25">
      <c r="A51" s="501" t="s">
        <v>282</v>
      </c>
      <c r="B51" s="501"/>
      <c r="C51" s="501"/>
      <c r="D51" s="501"/>
      <c r="E51" s="501"/>
      <c r="F51" s="501"/>
    </row>
    <row r="52" spans="1:6" ht="20" customHeight="1" x14ac:dyDescent="0.2">
      <c r="A52" s="69" t="s">
        <v>205</v>
      </c>
      <c r="B52" s="72" t="s">
        <v>204</v>
      </c>
      <c r="C52" s="73" t="s">
        <v>203</v>
      </c>
      <c r="D52" s="73" t="s">
        <v>202</v>
      </c>
      <c r="E52" s="73" t="s">
        <v>201</v>
      </c>
      <c r="F52" s="74" t="s">
        <v>200</v>
      </c>
    </row>
    <row r="53" spans="1:6" ht="20" customHeight="1" x14ac:dyDescent="0.2">
      <c r="A53" s="70" t="s">
        <v>199</v>
      </c>
      <c r="B53" s="82"/>
      <c r="C53" s="83"/>
      <c r="D53" s="83"/>
      <c r="E53" s="83"/>
      <c r="F53" s="84"/>
    </row>
    <row r="54" spans="1:6" ht="20" customHeight="1" x14ac:dyDescent="0.2">
      <c r="A54" s="70" t="s">
        <v>198</v>
      </c>
      <c r="B54" s="82"/>
      <c r="C54" s="83"/>
      <c r="D54" s="83"/>
      <c r="E54" s="83"/>
      <c r="F54" s="84"/>
    </row>
    <row r="55" spans="1:6" ht="20" customHeight="1" x14ac:dyDescent="0.2">
      <c r="A55" s="70" t="s">
        <v>197</v>
      </c>
      <c r="B55" s="498" t="s">
        <v>196</v>
      </c>
      <c r="C55" s="499"/>
      <c r="D55" s="499"/>
      <c r="E55" s="499"/>
      <c r="F55" s="500"/>
    </row>
    <row r="56" spans="1:6" ht="20" customHeight="1" x14ac:dyDescent="0.2">
      <c r="A56" s="70" t="s">
        <v>195</v>
      </c>
      <c r="B56" s="82"/>
      <c r="C56" s="83"/>
      <c r="D56" s="83"/>
      <c r="E56" s="83"/>
      <c r="F56" s="84"/>
    </row>
    <row r="57" spans="1:6" ht="20" customHeight="1" x14ac:dyDescent="0.2">
      <c r="A57" s="70" t="s">
        <v>194</v>
      </c>
      <c r="B57" s="82"/>
      <c r="C57" s="83"/>
      <c r="D57" s="83"/>
      <c r="E57" s="83"/>
      <c r="F57" s="84"/>
    </row>
    <row r="58" spans="1:6" ht="20" customHeight="1" x14ac:dyDescent="0.2">
      <c r="A58" s="70" t="s">
        <v>193</v>
      </c>
      <c r="B58" s="82"/>
      <c r="C58" s="83"/>
      <c r="D58" s="83"/>
      <c r="E58" s="83"/>
      <c r="F58" s="84"/>
    </row>
    <row r="59" spans="1:6" ht="20" customHeight="1" x14ac:dyDescent="0.2">
      <c r="A59" s="70" t="s">
        <v>192</v>
      </c>
      <c r="B59" s="498" t="s">
        <v>191</v>
      </c>
      <c r="C59" s="499"/>
      <c r="D59" s="499"/>
      <c r="E59" s="499"/>
      <c r="F59" s="500"/>
    </row>
    <row r="60" spans="1:6" ht="20" customHeight="1" x14ac:dyDescent="0.2">
      <c r="A60" s="70" t="s">
        <v>190</v>
      </c>
      <c r="B60" s="82"/>
      <c r="C60" s="83"/>
      <c r="D60" s="83"/>
      <c r="E60" s="83"/>
      <c r="F60" s="84"/>
    </row>
    <row r="61" spans="1:6" ht="20" customHeight="1" x14ac:dyDescent="0.2">
      <c r="A61" s="70" t="s">
        <v>189</v>
      </c>
      <c r="B61" s="82"/>
      <c r="C61" s="83"/>
      <c r="D61" s="83"/>
      <c r="E61" s="83"/>
      <c r="F61" s="84"/>
    </row>
    <row r="62" spans="1:6" ht="20" customHeight="1" thickBot="1" x14ac:dyDescent="0.25">
      <c r="A62" s="92" t="s">
        <v>244</v>
      </c>
      <c r="B62" s="93"/>
      <c r="C62" s="94"/>
      <c r="D62" s="94"/>
      <c r="E62" s="94"/>
      <c r="F62" s="95"/>
    </row>
    <row r="66" spans="1:6" ht="16" thickBot="1" x14ac:dyDescent="0.25">
      <c r="A66" s="501" t="s">
        <v>283</v>
      </c>
      <c r="B66" s="501"/>
      <c r="C66" s="501"/>
      <c r="D66" s="501"/>
      <c r="E66" s="501"/>
      <c r="F66" s="501"/>
    </row>
    <row r="67" spans="1:6" ht="20" customHeight="1" x14ac:dyDescent="0.2">
      <c r="A67" s="69" t="s">
        <v>205</v>
      </c>
      <c r="B67" s="72" t="s">
        <v>204</v>
      </c>
      <c r="C67" s="73" t="s">
        <v>203</v>
      </c>
      <c r="D67" s="73" t="s">
        <v>202</v>
      </c>
      <c r="E67" s="73" t="s">
        <v>201</v>
      </c>
      <c r="F67" s="74" t="s">
        <v>200</v>
      </c>
    </row>
    <row r="68" spans="1:6" ht="20" customHeight="1" x14ac:dyDescent="0.2">
      <c r="A68" s="70" t="s">
        <v>199</v>
      </c>
      <c r="B68" s="82"/>
      <c r="C68" s="83"/>
      <c r="D68" s="83"/>
      <c r="E68" s="83"/>
      <c r="F68" s="84"/>
    </row>
    <row r="69" spans="1:6" ht="20" customHeight="1" x14ac:dyDescent="0.2">
      <c r="A69" s="70" t="s">
        <v>198</v>
      </c>
      <c r="B69" s="82"/>
      <c r="C69" s="83"/>
      <c r="D69" s="83"/>
      <c r="E69" s="83"/>
      <c r="F69" s="84"/>
    </row>
    <row r="70" spans="1:6" ht="20" customHeight="1" x14ac:dyDescent="0.2">
      <c r="A70" s="70" t="s">
        <v>197</v>
      </c>
      <c r="B70" s="498" t="s">
        <v>196</v>
      </c>
      <c r="C70" s="499"/>
      <c r="D70" s="499"/>
      <c r="E70" s="499"/>
      <c r="F70" s="500"/>
    </row>
    <row r="71" spans="1:6" ht="20" customHeight="1" x14ac:dyDescent="0.2">
      <c r="A71" s="70" t="s">
        <v>195</v>
      </c>
      <c r="B71" s="82"/>
      <c r="C71" s="83"/>
      <c r="D71" s="83"/>
      <c r="E71" s="83"/>
      <c r="F71" s="84"/>
    </row>
    <row r="72" spans="1:6" ht="20" customHeight="1" x14ac:dyDescent="0.2">
      <c r="A72" s="70" t="s">
        <v>194</v>
      </c>
      <c r="B72" s="82"/>
      <c r="C72" s="83"/>
      <c r="D72" s="83"/>
      <c r="E72" s="83"/>
      <c r="F72" s="84"/>
    </row>
    <row r="73" spans="1:6" ht="20" customHeight="1" x14ac:dyDescent="0.2">
      <c r="A73" s="70" t="s">
        <v>193</v>
      </c>
      <c r="B73" s="82"/>
      <c r="C73" s="83"/>
      <c r="D73" s="83"/>
      <c r="E73" s="83"/>
      <c r="F73" s="84"/>
    </row>
    <row r="74" spans="1:6" ht="20" customHeight="1" x14ac:dyDescent="0.2">
      <c r="A74" s="70" t="s">
        <v>192</v>
      </c>
      <c r="B74" s="498" t="s">
        <v>191</v>
      </c>
      <c r="C74" s="499"/>
      <c r="D74" s="499"/>
      <c r="E74" s="499"/>
      <c r="F74" s="500"/>
    </row>
    <row r="75" spans="1:6" ht="20" customHeight="1" x14ac:dyDescent="0.2">
      <c r="A75" s="70" t="s">
        <v>190</v>
      </c>
      <c r="B75" s="82"/>
      <c r="C75" s="83"/>
      <c r="D75" s="83"/>
      <c r="E75" s="83"/>
      <c r="F75" s="84"/>
    </row>
    <row r="76" spans="1:6" ht="20" customHeight="1" x14ac:dyDescent="0.2">
      <c r="A76" s="70" t="s">
        <v>189</v>
      </c>
      <c r="B76" s="82"/>
      <c r="C76" s="83"/>
      <c r="D76" s="83"/>
      <c r="E76" s="83"/>
      <c r="F76" s="84"/>
    </row>
    <row r="77" spans="1:6" ht="20" customHeight="1" thickBot="1" x14ac:dyDescent="0.25">
      <c r="A77" s="92" t="s">
        <v>244</v>
      </c>
      <c r="B77" s="93"/>
      <c r="C77" s="94"/>
      <c r="D77" s="94"/>
      <c r="E77" s="94"/>
      <c r="F77" s="95"/>
    </row>
    <row r="81" spans="1:6" ht="16" thickBot="1" x14ac:dyDescent="0.25">
      <c r="A81" s="501" t="s">
        <v>284</v>
      </c>
      <c r="B81" s="501"/>
      <c r="C81" s="501"/>
      <c r="D81" s="501"/>
      <c r="E81" s="501"/>
      <c r="F81" s="501"/>
    </row>
    <row r="82" spans="1:6" ht="20" customHeight="1" x14ac:dyDescent="0.2">
      <c r="A82" s="69" t="s">
        <v>205</v>
      </c>
      <c r="B82" s="72" t="s">
        <v>204</v>
      </c>
      <c r="C82" s="73" t="s">
        <v>203</v>
      </c>
      <c r="D82" s="73" t="s">
        <v>202</v>
      </c>
      <c r="E82" s="73" t="s">
        <v>201</v>
      </c>
      <c r="F82" s="74" t="s">
        <v>200</v>
      </c>
    </row>
    <row r="83" spans="1:6" ht="20" customHeight="1" x14ac:dyDescent="0.2">
      <c r="A83" s="70" t="s">
        <v>199</v>
      </c>
      <c r="B83" s="82"/>
      <c r="C83" s="83"/>
      <c r="D83" s="83"/>
      <c r="E83" s="83"/>
      <c r="F83" s="84"/>
    </row>
    <row r="84" spans="1:6" ht="20" customHeight="1" x14ac:dyDescent="0.2">
      <c r="A84" s="70" t="s">
        <v>198</v>
      </c>
      <c r="B84" s="82"/>
      <c r="C84" s="83"/>
      <c r="D84" s="83"/>
      <c r="E84" s="83"/>
      <c r="F84" s="84"/>
    </row>
    <row r="85" spans="1:6" ht="20" customHeight="1" x14ac:dyDescent="0.2">
      <c r="A85" s="70" t="s">
        <v>197</v>
      </c>
      <c r="B85" s="498" t="s">
        <v>196</v>
      </c>
      <c r="C85" s="499"/>
      <c r="D85" s="499"/>
      <c r="E85" s="499"/>
      <c r="F85" s="500"/>
    </row>
    <row r="86" spans="1:6" ht="20" customHeight="1" x14ac:dyDescent="0.2">
      <c r="A86" s="70" t="s">
        <v>195</v>
      </c>
      <c r="B86" s="82"/>
      <c r="C86" s="83"/>
      <c r="D86" s="83"/>
      <c r="E86" s="83"/>
      <c r="F86" s="84"/>
    </row>
    <row r="87" spans="1:6" ht="20" customHeight="1" x14ac:dyDescent="0.2">
      <c r="A87" s="70" t="s">
        <v>194</v>
      </c>
      <c r="B87" s="82"/>
      <c r="C87" s="83"/>
      <c r="D87" s="83"/>
      <c r="E87" s="83"/>
      <c r="F87" s="84"/>
    </row>
    <row r="88" spans="1:6" ht="20" customHeight="1" x14ac:dyDescent="0.2">
      <c r="A88" s="70" t="s">
        <v>193</v>
      </c>
      <c r="B88" s="82"/>
      <c r="C88" s="83"/>
      <c r="D88" s="83"/>
      <c r="E88" s="83"/>
      <c r="F88" s="84"/>
    </row>
    <row r="89" spans="1:6" ht="20" customHeight="1" x14ac:dyDescent="0.2">
      <c r="A89" s="70" t="s">
        <v>192</v>
      </c>
      <c r="B89" s="498" t="s">
        <v>191</v>
      </c>
      <c r="C89" s="499"/>
      <c r="D89" s="499"/>
      <c r="E89" s="499"/>
      <c r="F89" s="500"/>
    </row>
    <row r="90" spans="1:6" ht="20" customHeight="1" x14ac:dyDescent="0.2">
      <c r="A90" s="70" t="s">
        <v>190</v>
      </c>
      <c r="B90" s="82"/>
      <c r="C90" s="83"/>
      <c r="D90" s="83"/>
      <c r="E90" s="83"/>
      <c r="F90" s="84"/>
    </row>
    <row r="91" spans="1:6" ht="20" customHeight="1" x14ac:dyDescent="0.2">
      <c r="A91" s="70" t="s">
        <v>189</v>
      </c>
      <c r="B91" s="82"/>
      <c r="C91" s="83"/>
      <c r="D91" s="83"/>
      <c r="E91" s="83"/>
      <c r="F91" s="84"/>
    </row>
    <row r="92" spans="1:6" ht="20" customHeight="1" thickBot="1" x14ac:dyDescent="0.25">
      <c r="A92" s="92" t="s">
        <v>244</v>
      </c>
      <c r="B92" s="93"/>
      <c r="C92" s="94"/>
      <c r="D92" s="94"/>
      <c r="E92" s="94"/>
      <c r="F92" s="95"/>
    </row>
  </sheetData>
  <mergeCells count="23">
    <mergeCell ref="A8:F8"/>
    <mergeCell ref="A1:F1"/>
    <mergeCell ref="A2:F2"/>
    <mergeCell ref="A3:F3"/>
    <mergeCell ref="A5:F5"/>
    <mergeCell ref="A6:F6"/>
    <mergeCell ref="B12:F12"/>
    <mergeCell ref="B16:F16"/>
    <mergeCell ref="A22:F22"/>
    <mergeCell ref="B26:F26"/>
    <mergeCell ref="B30:F30"/>
    <mergeCell ref="A36:F36"/>
    <mergeCell ref="B40:F40"/>
    <mergeCell ref="B44:F44"/>
    <mergeCell ref="A51:F51"/>
    <mergeCell ref="B55:F55"/>
    <mergeCell ref="B85:F85"/>
    <mergeCell ref="B89:F89"/>
    <mergeCell ref="B59:F59"/>
    <mergeCell ref="A66:F66"/>
    <mergeCell ref="B70:F70"/>
    <mergeCell ref="B74:F74"/>
    <mergeCell ref="A81:F81"/>
  </mergeCells>
  <pageMargins left="0.7" right="0.7" top="0.75" bottom="0.75" header="0.3" footer="0.3"/>
  <pageSetup scale="86" orientation="landscape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/>
  <dimension ref="A1:H48"/>
  <sheetViews>
    <sheetView showGridLines="0" workbookViewId="0">
      <selection activeCell="A21" sqref="A21"/>
    </sheetView>
  </sheetViews>
  <sheetFormatPr baseColWidth="10" defaultRowHeight="15" x14ac:dyDescent="0.2"/>
  <cols>
    <col min="1" max="1" width="30.6640625" customWidth="1"/>
    <col min="2" max="2" width="8.6640625" customWidth="1"/>
    <col min="4" max="4" width="30.6640625" customWidth="1"/>
    <col min="5" max="5" width="8.6640625" customWidth="1"/>
    <col min="7" max="7" width="30.6640625" customWidth="1"/>
    <col min="8" max="8" width="8.6640625" customWidth="1"/>
  </cols>
  <sheetData>
    <row r="1" spans="1:8" x14ac:dyDescent="0.2">
      <c r="A1" s="2" t="s">
        <v>14</v>
      </c>
      <c r="D1" s="2" t="s">
        <v>25</v>
      </c>
      <c r="G1" s="2" t="s">
        <v>34</v>
      </c>
    </row>
    <row r="2" spans="1:8" ht="32" x14ac:dyDescent="0.2">
      <c r="A2" s="4" t="s">
        <v>15</v>
      </c>
      <c r="B2" s="4" t="s">
        <v>16</v>
      </c>
      <c r="C2" s="1"/>
      <c r="D2" s="4" t="s">
        <v>15</v>
      </c>
      <c r="E2" s="4" t="s">
        <v>16</v>
      </c>
      <c r="F2" s="1"/>
      <c r="G2" s="4" t="s">
        <v>15</v>
      </c>
      <c r="H2" s="4" t="s">
        <v>16</v>
      </c>
    </row>
    <row r="3" spans="1:8" x14ac:dyDescent="0.2">
      <c r="A3" s="5" t="s">
        <v>67</v>
      </c>
      <c r="B3" s="6">
        <v>5</v>
      </c>
      <c r="D3" s="5" t="s">
        <v>77</v>
      </c>
      <c r="E3" s="6">
        <v>5</v>
      </c>
      <c r="G3" s="5" t="s">
        <v>87</v>
      </c>
      <c r="H3" s="6">
        <v>5</v>
      </c>
    </row>
    <row r="4" spans="1:8" x14ac:dyDescent="0.2">
      <c r="A4" s="5" t="s">
        <v>68</v>
      </c>
      <c r="B4" s="6">
        <v>5</v>
      </c>
      <c r="D4" s="5" t="s">
        <v>78</v>
      </c>
      <c r="E4" s="6">
        <v>5</v>
      </c>
      <c r="G4" s="5" t="s">
        <v>88</v>
      </c>
      <c r="H4" s="6">
        <v>5</v>
      </c>
    </row>
    <row r="5" spans="1:8" x14ac:dyDescent="0.2">
      <c r="A5" s="5" t="s">
        <v>69</v>
      </c>
      <c r="B5" s="6">
        <v>6</v>
      </c>
      <c r="D5" s="5" t="s">
        <v>79</v>
      </c>
      <c r="E5" s="6">
        <v>6</v>
      </c>
      <c r="G5" s="5" t="s">
        <v>89</v>
      </c>
      <c r="H5" s="6">
        <v>6</v>
      </c>
    </row>
    <row r="6" spans="1:8" x14ac:dyDescent="0.2">
      <c r="A6" s="5" t="s">
        <v>70</v>
      </c>
      <c r="B6" s="6">
        <v>5</v>
      </c>
      <c r="D6" s="5" t="s">
        <v>80</v>
      </c>
      <c r="E6" s="6">
        <v>4</v>
      </c>
      <c r="G6" s="5" t="s">
        <v>90</v>
      </c>
      <c r="H6" s="6">
        <v>4</v>
      </c>
    </row>
    <row r="7" spans="1:8" x14ac:dyDescent="0.2">
      <c r="A7" s="5" t="s">
        <v>71</v>
      </c>
      <c r="B7" s="6">
        <v>3</v>
      </c>
      <c r="D7" s="5" t="s">
        <v>81</v>
      </c>
      <c r="E7" s="6">
        <v>4</v>
      </c>
      <c r="G7" s="5" t="s">
        <v>91</v>
      </c>
      <c r="H7" s="6">
        <v>4</v>
      </c>
    </row>
    <row r="8" spans="1:8" x14ac:dyDescent="0.2">
      <c r="A8" s="5" t="s">
        <v>72</v>
      </c>
      <c r="B8" s="6">
        <v>2</v>
      </c>
      <c r="D8" s="5" t="s">
        <v>82</v>
      </c>
      <c r="E8" s="6">
        <v>3</v>
      </c>
      <c r="G8" s="5" t="s">
        <v>92</v>
      </c>
      <c r="H8" s="6">
        <v>3</v>
      </c>
    </row>
    <row r="9" spans="1:8" x14ac:dyDescent="0.2">
      <c r="A9" s="5" t="s">
        <v>73</v>
      </c>
      <c r="B9" s="6">
        <v>8</v>
      </c>
      <c r="D9" s="5" t="s">
        <v>83</v>
      </c>
      <c r="E9" s="6">
        <v>2</v>
      </c>
      <c r="G9" s="5" t="s">
        <v>93</v>
      </c>
      <c r="H9" s="6">
        <v>2</v>
      </c>
    </row>
    <row r="10" spans="1:8" x14ac:dyDescent="0.2">
      <c r="A10" s="5" t="s">
        <v>74</v>
      </c>
      <c r="B10" s="6">
        <v>2</v>
      </c>
      <c r="D10" s="5" t="s">
        <v>84</v>
      </c>
      <c r="E10" s="6">
        <v>8</v>
      </c>
      <c r="G10" s="5" t="s">
        <v>94</v>
      </c>
      <c r="H10" s="6">
        <v>8</v>
      </c>
    </row>
    <row r="11" spans="1:8" x14ac:dyDescent="0.2">
      <c r="A11" s="5" t="s">
        <v>75</v>
      </c>
      <c r="B11" s="6">
        <v>3</v>
      </c>
      <c r="D11" s="5" t="s">
        <v>85</v>
      </c>
      <c r="E11" s="6">
        <v>2</v>
      </c>
      <c r="G11" s="5" t="s">
        <v>95</v>
      </c>
      <c r="H11" s="6">
        <v>2</v>
      </c>
    </row>
    <row r="12" spans="1:8" x14ac:dyDescent="0.2">
      <c r="A12" s="5" t="s">
        <v>76</v>
      </c>
      <c r="B12" s="6">
        <v>1</v>
      </c>
      <c r="D12" s="8" t="s">
        <v>86</v>
      </c>
      <c r="E12" s="6">
        <v>1</v>
      </c>
      <c r="G12" s="5" t="s">
        <v>96</v>
      </c>
      <c r="H12" s="6">
        <v>1</v>
      </c>
    </row>
    <row r="13" spans="1:8" x14ac:dyDescent="0.2">
      <c r="A13" s="3" t="s">
        <v>18</v>
      </c>
      <c r="B13" s="6">
        <f>SUM(B3:B12)</f>
        <v>40</v>
      </c>
      <c r="D13" s="3" t="s">
        <v>18</v>
      </c>
      <c r="E13" s="6">
        <f>SUM(E3:E12)</f>
        <v>40</v>
      </c>
      <c r="G13" s="3" t="s">
        <v>17</v>
      </c>
      <c r="H13" s="6">
        <f>SUM(H3:H12)</f>
        <v>40</v>
      </c>
    </row>
    <row r="15" spans="1:8" x14ac:dyDescent="0.2">
      <c r="A15" t="s">
        <v>33</v>
      </c>
    </row>
    <row r="19" spans="1:8" x14ac:dyDescent="0.2">
      <c r="A19" s="2" t="s">
        <v>14</v>
      </c>
      <c r="D19" s="2" t="s">
        <v>25</v>
      </c>
      <c r="G19" s="2" t="s">
        <v>34</v>
      </c>
    </row>
    <row r="20" spans="1:8" ht="32" x14ac:dyDescent="0.2">
      <c r="A20" s="4" t="s">
        <v>15</v>
      </c>
      <c r="B20" s="4" t="s">
        <v>16</v>
      </c>
      <c r="C20" s="1"/>
      <c r="D20" s="4" t="s">
        <v>15</v>
      </c>
      <c r="E20" s="4" t="s">
        <v>16</v>
      </c>
      <c r="F20" s="1"/>
      <c r="G20" s="4" t="s">
        <v>15</v>
      </c>
      <c r="H20" s="4" t="s">
        <v>16</v>
      </c>
    </row>
    <row r="21" spans="1:8" x14ac:dyDescent="0.2">
      <c r="A21" s="5" t="s">
        <v>19</v>
      </c>
      <c r="B21" s="6">
        <v>5</v>
      </c>
      <c r="D21" s="5" t="s">
        <v>26</v>
      </c>
      <c r="E21" s="6">
        <v>5</v>
      </c>
      <c r="G21" s="5" t="s">
        <v>35</v>
      </c>
      <c r="H21" s="6">
        <v>5</v>
      </c>
    </row>
    <row r="22" spans="1:8" x14ac:dyDescent="0.2">
      <c r="A22" s="5" t="s">
        <v>20</v>
      </c>
      <c r="B22" s="6">
        <v>5</v>
      </c>
      <c r="D22" s="5" t="s">
        <v>27</v>
      </c>
      <c r="E22" s="6">
        <v>5</v>
      </c>
      <c r="G22" s="5" t="s">
        <v>36</v>
      </c>
      <c r="H22" s="6">
        <v>5</v>
      </c>
    </row>
    <row r="23" spans="1:8" x14ac:dyDescent="0.2">
      <c r="A23" s="5" t="s">
        <v>43</v>
      </c>
      <c r="B23" s="6">
        <v>6</v>
      </c>
      <c r="D23" s="5" t="s">
        <v>58</v>
      </c>
      <c r="E23" s="6">
        <v>6</v>
      </c>
      <c r="G23" s="5" t="s">
        <v>59</v>
      </c>
      <c r="H23" s="6">
        <v>6</v>
      </c>
    </row>
    <row r="24" spans="1:8" x14ac:dyDescent="0.2">
      <c r="A24" s="5" t="s">
        <v>44</v>
      </c>
      <c r="B24" s="6">
        <v>5</v>
      </c>
      <c r="D24" s="5" t="s">
        <v>28</v>
      </c>
      <c r="E24" s="6">
        <v>4</v>
      </c>
      <c r="G24" s="5" t="s">
        <v>37</v>
      </c>
      <c r="H24" s="6">
        <v>4</v>
      </c>
    </row>
    <row r="25" spans="1:8" x14ac:dyDescent="0.2">
      <c r="A25" s="5" t="s">
        <v>21</v>
      </c>
      <c r="B25" s="6">
        <v>3</v>
      </c>
      <c r="D25" s="5" t="s">
        <v>29</v>
      </c>
      <c r="E25" s="6">
        <v>4</v>
      </c>
      <c r="G25" s="5" t="s">
        <v>38</v>
      </c>
      <c r="H25" s="6">
        <v>4</v>
      </c>
    </row>
    <row r="26" spans="1:8" x14ac:dyDescent="0.2">
      <c r="A26" s="5" t="s">
        <v>22</v>
      </c>
      <c r="B26" s="6">
        <v>2</v>
      </c>
      <c r="D26" s="5" t="s">
        <v>30</v>
      </c>
      <c r="E26" s="6">
        <v>3</v>
      </c>
      <c r="G26" s="5" t="s">
        <v>39</v>
      </c>
      <c r="H26" s="6">
        <v>3</v>
      </c>
    </row>
    <row r="27" spans="1:8" x14ac:dyDescent="0.2">
      <c r="A27" s="5" t="s">
        <v>23</v>
      </c>
      <c r="B27" s="6">
        <v>8</v>
      </c>
      <c r="D27" s="5" t="s">
        <v>31</v>
      </c>
      <c r="E27" s="6">
        <v>2</v>
      </c>
      <c r="G27" s="5" t="s">
        <v>40</v>
      </c>
      <c r="H27" s="6">
        <v>2</v>
      </c>
    </row>
    <row r="28" spans="1:8" x14ac:dyDescent="0.2">
      <c r="A28" s="5" t="s">
        <v>49</v>
      </c>
      <c r="B28" s="6">
        <v>2</v>
      </c>
      <c r="D28" s="5" t="s">
        <v>32</v>
      </c>
      <c r="E28" s="6">
        <v>8</v>
      </c>
      <c r="G28" s="5" t="s">
        <v>41</v>
      </c>
      <c r="H28" s="6">
        <v>8</v>
      </c>
    </row>
    <row r="29" spans="1:8" x14ac:dyDescent="0.2">
      <c r="A29" s="5" t="s">
        <v>24</v>
      </c>
      <c r="B29" s="6">
        <v>3</v>
      </c>
      <c r="D29" s="5" t="s">
        <v>50</v>
      </c>
      <c r="E29" s="6">
        <v>2</v>
      </c>
      <c r="G29" s="5" t="s">
        <v>51</v>
      </c>
      <c r="H29" s="6">
        <v>2</v>
      </c>
    </row>
    <row r="30" spans="1:8" x14ac:dyDescent="0.2">
      <c r="A30" s="5" t="s">
        <v>57</v>
      </c>
      <c r="B30" s="6">
        <v>1</v>
      </c>
      <c r="D30" s="8" t="s">
        <v>57</v>
      </c>
      <c r="E30" s="6">
        <v>1</v>
      </c>
      <c r="G30" s="5" t="s">
        <v>57</v>
      </c>
      <c r="H30" s="6">
        <v>1</v>
      </c>
    </row>
    <row r="31" spans="1:8" x14ac:dyDescent="0.2">
      <c r="A31" s="3" t="s">
        <v>18</v>
      </c>
      <c r="B31" s="6">
        <f>SUM(B21:B30)</f>
        <v>40</v>
      </c>
      <c r="D31" s="3" t="s">
        <v>18</v>
      </c>
      <c r="E31" s="6">
        <f>SUM(E21:E30)</f>
        <v>40</v>
      </c>
      <c r="G31" s="3" t="s">
        <v>17</v>
      </c>
      <c r="H31" s="6">
        <f>SUM(H21:H30)</f>
        <v>40</v>
      </c>
    </row>
    <row r="33" spans="1:5" x14ac:dyDescent="0.2">
      <c r="A33" s="7" t="s">
        <v>33</v>
      </c>
    </row>
    <row r="36" spans="1:5" ht="32" x14ac:dyDescent="0.2">
      <c r="B36" s="67" t="s">
        <v>132</v>
      </c>
      <c r="C36" s="67" t="s">
        <v>133</v>
      </c>
      <c r="D36" s="67" t="s">
        <v>138</v>
      </c>
      <c r="E36" s="67" t="s">
        <v>13</v>
      </c>
    </row>
    <row r="37" spans="1:5" x14ac:dyDescent="0.2">
      <c r="B37" s="6">
        <v>1</v>
      </c>
      <c r="C37" s="6" t="s">
        <v>134</v>
      </c>
      <c r="D37" s="65" t="s">
        <v>139</v>
      </c>
      <c r="E37" s="68">
        <v>5</v>
      </c>
    </row>
    <row r="38" spans="1:5" x14ac:dyDescent="0.2">
      <c r="B38" s="6">
        <v>2</v>
      </c>
      <c r="C38" s="6" t="s">
        <v>135</v>
      </c>
      <c r="D38" s="65" t="s">
        <v>140</v>
      </c>
      <c r="E38" s="68">
        <v>5</v>
      </c>
    </row>
    <row r="39" spans="1:5" x14ac:dyDescent="0.2">
      <c r="B39" s="6">
        <v>3</v>
      </c>
      <c r="C39" s="6" t="s">
        <v>136</v>
      </c>
      <c r="D39" s="65" t="s">
        <v>141</v>
      </c>
      <c r="E39" s="68">
        <v>6</v>
      </c>
    </row>
    <row r="40" spans="1:5" x14ac:dyDescent="0.2">
      <c r="C40" s="6" t="s">
        <v>137</v>
      </c>
      <c r="D40" s="65" t="s">
        <v>142</v>
      </c>
      <c r="E40" s="68">
        <v>5</v>
      </c>
    </row>
    <row r="41" spans="1:5" x14ac:dyDescent="0.2">
      <c r="D41" s="66" t="s">
        <v>149</v>
      </c>
      <c r="E41" s="68">
        <v>4</v>
      </c>
    </row>
    <row r="42" spans="1:5" x14ac:dyDescent="0.2">
      <c r="D42" s="66" t="s">
        <v>150</v>
      </c>
      <c r="E42" s="68">
        <v>4</v>
      </c>
    </row>
    <row r="43" spans="1:5" x14ac:dyDescent="0.2">
      <c r="D43" s="65" t="s">
        <v>143</v>
      </c>
      <c r="E43" s="68">
        <v>3</v>
      </c>
    </row>
    <row r="44" spans="1:5" x14ac:dyDescent="0.2">
      <c r="D44" s="65" t="s">
        <v>144</v>
      </c>
      <c r="E44" s="68">
        <v>2</v>
      </c>
    </row>
    <row r="45" spans="1:5" x14ac:dyDescent="0.2">
      <c r="D45" s="65" t="s">
        <v>145</v>
      </c>
      <c r="E45" s="68">
        <v>8</v>
      </c>
    </row>
    <row r="46" spans="1:5" x14ac:dyDescent="0.2">
      <c r="D46" s="65" t="s">
        <v>146</v>
      </c>
      <c r="E46" s="68">
        <v>2</v>
      </c>
    </row>
    <row r="47" spans="1:5" x14ac:dyDescent="0.2">
      <c r="D47" s="65" t="s">
        <v>147</v>
      </c>
      <c r="E47" s="68">
        <v>3</v>
      </c>
    </row>
    <row r="48" spans="1:5" x14ac:dyDescent="0.2">
      <c r="D48" s="65" t="s">
        <v>148</v>
      </c>
      <c r="E48" s="68">
        <v>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54F0E-192E-C843-AB2C-917F787C31B3}">
  <sheetPr codeName="Hoja14"/>
  <dimension ref="A1:D12"/>
  <sheetViews>
    <sheetView zoomScale="132" workbookViewId="0"/>
  </sheetViews>
  <sheetFormatPr baseColWidth="10" defaultRowHeight="15" x14ac:dyDescent="0.2"/>
  <cols>
    <col min="1" max="1" width="8.83203125" customWidth="1"/>
    <col min="2" max="4" width="40.83203125" customWidth="1"/>
  </cols>
  <sheetData>
    <row r="1" spans="1:4" ht="30" customHeight="1" thickBot="1" x14ac:dyDescent="0.25">
      <c r="A1" s="303" t="s">
        <v>505</v>
      </c>
      <c r="B1" s="304" t="s">
        <v>60</v>
      </c>
      <c r="C1" s="304" t="s">
        <v>506</v>
      </c>
      <c r="D1" s="304" t="s">
        <v>507</v>
      </c>
    </row>
    <row r="2" spans="1:4" ht="17" thickBot="1" x14ac:dyDescent="0.25">
      <c r="A2" s="305" t="s">
        <v>508</v>
      </c>
      <c r="B2" s="306" t="str">
        <f>'EST24'!E13</f>
        <v>RAUL</v>
      </c>
      <c r="C2" s="307"/>
      <c r="D2" s="308"/>
    </row>
    <row r="3" spans="1:4" ht="17" hidden="1" thickBot="1" x14ac:dyDescent="0.25">
      <c r="A3" s="305" t="s">
        <v>509</v>
      </c>
      <c r="B3" s="309"/>
      <c r="C3" s="310"/>
      <c r="D3" s="311"/>
    </row>
    <row r="4" spans="1:4" ht="17" hidden="1" thickBot="1" x14ac:dyDescent="0.25">
      <c r="A4" s="305" t="s">
        <v>510</v>
      </c>
      <c r="B4" s="309"/>
      <c r="C4" s="310"/>
      <c r="D4" s="311"/>
    </row>
    <row r="5" spans="1:4" ht="16" hidden="1" thickBot="1" x14ac:dyDescent="0.25">
      <c r="A5" s="305" t="s">
        <v>511</v>
      </c>
      <c r="B5" s="309"/>
      <c r="C5" s="312"/>
      <c r="D5" s="311"/>
    </row>
    <row r="6" spans="1:4" ht="17" thickBot="1" x14ac:dyDescent="0.25">
      <c r="A6" s="305" t="s">
        <v>514</v>
      </c>
      <c r="B6" s="309" t="str">
        <f>'EST24'!E24</f>
        <v>JOSE</v>
      </c>
      <c r="C6" s="310"/>
      <c r="D6" s="311"/>
    </row>
    <row r="7" spans="1:4" ht="17" thickBot="1" x14ac:dyDescent="0.25">
      <c r="A7" s="305" t="s">
        <v>515</v>
      </c>
      <c r="B7" s="309" t="str">
        <f>'EST24'!G24</f>
        <v>XITLALI</v>
      </c>
      <c r="C7" s="310"/>
      <c r="D7" s="311"/>
    </row>
    <row r="8" spans="1:4" ht="16" hidden="1" thickBot="1" x14ac:dyDescent="0.25">
      <c r="A8" s="305" t="s">
        <v>516</v>
      </c>
      <c r="B8" s="309"/>
      <c r="C8" s="312"/>
      <c r="D8" s="311"/>
    </row>
    <row r="9" spans="1:4" ht="17" hidden="1" thickBot="1" x14ac:dyDescent="0.25">
      <c r="A9" s="305" t="s">
        <v>517</v>
      </c>
      <c r="B9" s="309"/>
      <c r="C9" s="310"/>
      <c r="D9" s="311"/>
    </row>
    <row r="10" spans="1:4" ht="17" thickBot="1" x14ac:dyDescent="0.25">
      <c r="A10" s="305" t="s">
        <v>518</v>
      </c>
      <c r="B10" s="309" t="str">
        <f>'EST24'!E36</f>
        <v>ABRAHAM</v>
      </c>
      <c r="C10" s="310"/>
      <c r="D10" s="311"/>
    </row>
    <row r="11" spans="1:4" ht="16" hidden="1" thickBot="1" x14ac:dyDescent="0.25">
      <c r="A11" s="305" t="s">
        <v>519</v>
      </c>
      <c r="B11" s="309" t="s">
        <v>520</v>
      </c>
      <c r="C11" s="312" t="s">
        <v>512</v>
      </c>
      <c r="D11" s="311" t="s">
        <v>512</v>
      </c>
    </row>
    <row r="12" spans="1:4" ht="16" hidden="1" thickBot="1" x14ac:dyDescent="0.25">
      <c r="A12" s="305" t="s">
        <v>521</v>
      </c>
      <c r="B12" s="313" t="s">
        <v>513</v>
      </c>
      <c r="C12" s="314" t="s">
        <v>522</v>
      </c>
      <c r="D12" s="315" t="s">
        <v>523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53</vt:i4>
      </vt:variant>
    </vt:vector>
  </HeadingPairs>
  <TitlesOfParts>
    <vt:vector size="67" baseType="lpstr">
      <vt:lpstr>HorarioGeneral</vt:lpstr>
      <vt:lpstr>Vespertino</vt:lpstr>
      <vt:lpstr>EST24</vt:lpstr>
      <vt:lpstr>Carga horaria</vt:lpstr>
      <vt:lpstr>Maestros</vt:lpstr>
      <vt:lpstr>Disponibilidad</vt:lpstr>
      <vt:lpstr>Periodos lectivos</vt:lpstr>
      <vt:lpstr>Horas vs Asignaturas</vt:lpstr>
      <vt:lpstr>Distribución anual</vt:lpstr>
      <vt:lpstr>Horarios 1ª</vt:lpstr>
      <vt:lpstr>Horarios 2ª</vt:lpstr>
      <vt:lpstr>Horarios 3ª</vt:lpstr>
      <vt:lpstr>Carga horaria (2)</vt:lpstr>
      <vt:lpstr>Tutores</vt:lpstr>
      <vt:lpstr>Disponibilidad!Área_de_impresión</vt:lpstr>
      <vt:lpstr>'Horarios 2ª'!Área_de_impresión</vt:lpstr>
      <vt:lpstr>'Horarios 3ª'!Área_de_impresión</vt:lpstr>
      <vt:lpstr>'Carga horaria (2)'!Asignaturas</vt:lpstr>
      <vt:lpstr>Asignaturas</vt:lpstr>
      <vt:lpstr>'Carga horaria (2)'!CargaHoraria</vt:lpstr>
      <vt:lpstr>CargaHoraria</vt:lpstr>
      <vt:lpstr>'Carga horaria (2)'!Grados</vt:lpstr>
      <vt:lpstr>Grados</vt:lpstr>
      <vt:lpstr>'Carga horaria (2)'!Grupos</vt:lpstr>
      <vt:lpstr>Grupos</vt:lpstr>
      <vt:lpstr>hpA</vt:lpstr>
      <vt:lpstr>hpB</vt:lpstr>
      <vt:lpstr>hpC</vt:lpstr>
      <vt:lpstr>hpD</vt:lpstr>
      <vt:lpstr>hpE</vt:lpstr>
      <vt:lpstr>hpF</vt:lpstr>
      <vt:lpstr>hsA</vt:lpstr>
      <vt:lpstr>hsB</vt:lpstr>
      <vt:lpstr>hsC</vt:lpstr>
      <vt:lpstr>hsD</vt:lpstr>
      <vt:lpstr>hsE</vt:lpstr>
      <vt:lpstr>hsF</vt:lpstr>
      <vt:lpstr>htA</vt:lpstr>
      <vt:lpstr>htB</vt:lpstr>
      <vt:lpstr>htC</vt:lpstr>
      <vt:lpstr>htD</vt:lpstr>
      <vt:lpstr>htE</vt:lpstr>
      <vt:lpstr>htF</vt:lpstr>
      <vt:lpstr>ListaMaestros</vt:lpstr>
      <vt:lpstr>Primero</vt:lpstr>
      <vt:lpstr>PrimeroA</vt:lpstr>
      <vt:lpstr>PrimeroB</vt:lpstr>
      <vt:lpstr>PrimeroC</vt:lpstr>
      <vt:lpstr>PrimeroD</vt:lpstr>
      <vt:lpstr>PrimeroE</vt:lpstr>
      <vt:lpstr>PrimeroF</vt:lpstr>
      <vt:lpstr>Segundo</vt:lpstr>
      <vt:lpstr>SegundoA</vt:lpstr>
      <vt:lpstr>SegundoB</vt:lpstr>
      <vt:lpstr>SegundoC</vt:lpstr>
      <vt:lpstr>SegundoD</vt:lpstr>
      <vt:lpstr>SegundoE</vt:lpstr>
      <vt:lpstr>SegundoF</vt:lpstr>
      <vt:lpstr>Tecnologias</vt:lpstr>
      <vt:lpstr>Tecnologías</vt:lpstr>
      <vt:lpstr>Tercero</vt:lpstr>
      <vt:lpstr>TerceroA</vt:lpstr>
      <vt:lpstr>TerceroB</vt:lpstr>
      <vt:lpstr>TerceroC</vt:lpstr>
      <vt:lpstr>TerceroD</vt:lpstr>
      <vt:lpstr>TerceroE</vt:lpstr>
      <vt:lpstr>TerceroF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BxCx</dc:creator>
  <cp:lastModifiedBy>Microsoft Office User</cp:lastModifiedBy>
  <cp:lastPrinted>2015-01-26T17:17:49Z</cp:lastPrinted>
  <dcterms:created xsi:type="dcterms:W3CDTF">2014-08-09T17:35:11Z</dcterms:created>
  <dcterms:modified xsi:type="dcterms:W3CDTF">2020-02-25T07:09:45Z</dcterms:modified>
</cp:coreProperties>
</file>